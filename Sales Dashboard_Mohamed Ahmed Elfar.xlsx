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fcaiusc-my.sharepoint.com/personal/mohammed1701015cs_fcai_usc_edu_eg/Documents/Excel/Nti Tasks/"/>
    </mc:Choice>
  </mc:AlternateContent>
  <xr:revisionPtr revIDLastSave="1010" documentId="8_{B3D2CD7B-F8CA-4CBF-88E9-4AC5510C2331}" xr6:coauthVersionLast="47" xr6:coauthVersionMax="47" xr10:uidLastSave="{E82F34C9-7BAD-4C48-908C-EC063FF86548}"/>
  <bookViews>
    <workbookView xWindow="-110" yWindow="-110" windowWidth="19420" windowHeight="10420" activeTab="1" xr2:uid="{6D8EE2B5-6FA2-414D-96C0-DA5DB300C392}"/>
  </bookViews>
  <sheets>
    <sheet name="Paviot Table &amp; Charts" sheetId="1" r:id="rId1"/>
    <sheet name="Dashboard" sheetId="4" r:id="rId2"/>
  </sheets>
  <definedNames>
    <definedName name="Slicer_category">#N/A</definedName>
    <definedName name="Slicer_State">#N/A</definedName>
    <definedName name="Timeline_Shap_Date">#N/A</definedName>
  </definedNames>
  <calcPr calcId="191029"/>
  <pivotCaches>
    <pivotCache cacheId="3" r:id="rId3"/>
    <pivotCache cacheId="83" r:id="rId4"/>
    <pivotCache cacheId="86" r:id="rId5"/>
    <pivotCache cacheId="89" r:id="rId6"/>
    <pivotCache cacheId="92" r:id="rId7"/>
    <pivotCache cacheId="95" r:id="rId8"/>
    <pivotCache cacheId="98"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Orders_9fe4d9d1-8ef8-4cc3-a229-b0fd57c0cbdf" name="Sales Orders" connection="Query - Sales Orders"/>
          <x15:modelTable id="Products_8ec4545d-9a97-4553-9045-6e1d9f67cb14" name="Products" connection="Query - Products"/>
          <x15:modelTable id="Dim Cutomer Data_ed9a35f7-c2c9-4a36-9bc6-63b0dce50b47" name="Dim Cutomer Data" connection="Query - Dim Cutomer Data"/>
          <x15:modelTable id="Calendar" name="Calendar" connection="Connection"/>
        </x15:modelTables>
        <x15:modelRelationships>
          <x15:modelRelationship fromTable="Sales Orders" fromColumn="Customer ID" toTable="Dim Cutomer Data" toColumn="Customer ID"/>
          <x15:modelRelationship fromTable="Sales Orders" fromColumn="Product ID" toTable="Products" toColumn="Product ID"/>
          <x15:modelRelationship fromTable="Sales 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 l="1"/>
  <c r="V8" i="1"/>
  <c r="R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8F431D-69A0-440E-A69B-AD5F10E642F8}" name="Connection" type="104" refreshedVersion="0" background="1">
    <extLst>
      <ext xmlns:x15="http://schemas.microsoft.com/office/spreadsheetml/2010/11/main" uri="{DE250136-89BD-433C-8126-D09CA5730AF9}">
        <x15:connection id="Calendar"/>
      </ext>
    </extLst>
  </connection>
  <connection id="2" xr16:uid="{8C972F01-5756-43F5-AD87-8C9D9D84AAC4}" name="Query - Dim Cutomer Data" description="Connection to the 'Dim Cutomer Data' query in the workbook." type="100" refreshedVersion="8" minRefreshableVersion="5">
    <extLst>
      <ext xmlns:x15="http://schemas.microsoft.com/office/spreadsheetml/2010/11/main" uri="{DE250136-89BD-433C-8126-D09CA5730AF9}">
        <x15:connection id="50370f7f-e22d-4bc2-81a2-9a6c24ad138e"/>
      </ext>
    </extLst>
  </connection>
  <connection id="3" xr16:uid="{F51D73FB-B8A3-473C-AD9F-14DC8A72348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76B2DF3D-7A52-4535-91A5-5806F3D26FB6}" name="Query - Products" description="Connection to the 'Products' query in the workbook." type="100" refreshedVersion="8" minRefreshableVersion="5">
    <extLst>
      <ext xmlns:x15="http://schemas.microsoft.com/office/spreadsheetml/2010/11/main" uri="{DE250136-89BD-433C-8126-D09CA5730AF9}">
        <x15:connection id="dd7d5441-ae66-4a8c-bcdf-2238a1d1bf34"/>
      </ext>
    </extLst>
  </connection>
  <connection id="5" xr16:uid="{22EE7041-28A4-4D1C-AABB-1EF2FB6BD64A}" name="Query - Sales Orders" description="Connection to the 'Sales Orders' query in the workbook." type="100" refreshedVersion="8" minRefreshableVersion="5">
    <extLst>
      <ext xmlns:x15="http://schemas.microsoft.com/office/spreadsheetml/2010/11/main" uri="{DE250136-89BD-433C-8126-D09CA5730AF9}">
        <x15:connection id="9c4f2c82-1ce2-4946-83c0-6f9b1e58b992"/>
      </ext>
    </extLst>
  </connection>
  <connection id="6" xr16:uid="{32D0C13D-E23D-425D-AF95-AC4FF155F63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132A0A3E-942E-405E-81EC-E1D58469442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32CD0575-6D0A-4CD2-A436-9B4C9FF9558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E39F8155-8D07-4C70-8815-9ADAB020ED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Quarter].[All]}"/>
  </metadataStrings>
  <mdxMetadata count="1">
    <mdx n="0" f="s">
      <ms ns="1" c="0"/>
    </mdx>
  </mdxMetadata>
  <valueMetadata count="1">
    <bk>
      <rc t="1" v="0"/>
    </bk>
  </valueMetadata>
</metadata>
</file>

<file path=xl/sharedStrings.xml><?xml version="1.0" encoding="utf-8"?>
<sst xmlns="http://schemas.openxmlformats.org/spreadsheetml/2006/main" count="44" uniqueCount="36">
  <si>
    <t>Row Labels</t>
  </si>
  <si>
    <t>Furniture</t>
  </si>
  <si>
    <t>Office Supplies</t>
  </si>
  <si>
    <t>Technology</t>
  </si>
  <si>
    <t>Grand Total</t>
  </si>
  <si>
    <t>Sum of Total Sales</t>
  </si>
  <si>
    <t>Central</t>
  </si>
  <si>
    <t>East</t>
  </si>
  <si>
    <t>South</t>
  </si>
  <si>
    <t>West</t>
  </si>
  <si>
    <t>California</t>
  </si>
  <si>
    <t>Illinois</t>
  </si>
  <si>
    <t>Michigan</t>
  </si>
  <si>
    <t>Minnesota</t>
  </si>
  <si>
    <t>New York</t>
  </si>
  <si>
    <t>North Carolina</t>
  </si>
  <si>
    <t>Ohio</t>
  </si>
  <si>
    <t>Pennsylvania</t>
  </si>
  <si>
    <t>Texas</t>
  </si>
  <si>
    <t>Washington</t>
  </si>
  <si>
    <t>Sum of Profit</t>
  </si>
  <si>
    <t>Accessories</t>
  </si>
  <si>
    <t>Binders</t>
  </si>
  <si>
    <t>Bookcases</t>
  </si>
  <si>
    <t>Chairs</t>
  </si>
  <si>
    <t>Furnishings</t>
  </si>
  <si>
    <t>Machines</t>
  </si>
  <si>
    <t>Paper</t>
  </si>
  <si>
    <t>Phones</t>
  </si>
  <si>
    <t>Storage</t>
  </si>
  <si>
    <t>Tables</t>
  </si>
  <si>
    <t>tsales</t>
  </si>
  <si>
    <t>tprofit</t>
  </si>
  <si>
    <t>tcost</t>
  </si>
  <si>
    <t>Quarter</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</si>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</sst>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6"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164" fontId="0" fillId="0" borderId="0" xfId="1" applyNumberFormat="1" applyFont="1"/>
  </cellXfs>
  <cellStyles count="2">
    <cellStyle name="Comma" xfId="1" builtinId="3"/>
    <cellStyle name="Normal" xfId="0" builtinId="0"/>
  </cellStyles>
  <dxfs count="2">
    <dxf>
      <font>
        <b/>
        <sz val="11"/>
        <color theme="1"/>
      </font>
    </dxf>
    <dxf>
      <fill>
        <patternFill patternType="none">
          <fgColor indexed="64"/>
          <bgColor auto="1"/>
        </patternFill>
      </fill>
      <border diagonalUp="0" diagonalDown="0">
        <left/>
        <right/>
        <top/>
        <bottom/>
        <vertical/>
        <horizontal/>
      </border>
    </dxf>
  </dxfs>
  <tableStyles count="1" defaultTableStyle="TableStyleMedium2" defaultPivotStyle="PivotStyleLight16">
    <tableStyle name="Timeline Style 1" pivot="0" table="0" count="8" xr9:uid="{43C6E8AC-B90F-4198-AF39-DA22D7FA2748}">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11/relationships/timelineCache" Target="timelineCaches/timeline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powerPivotData" Target="model/item.data"/><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ar-EG"/>
              <a:t> </a:t>
            </a:r>
            <a:r>
              <a:rPr lang="en-US" baseline="0"/>
              <a:t> 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'Paviot Table &amp; Charts'!$B$2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&amp; Charts'!$A$3:$A$6</c:f>
              <c:strCache>
                <c:ptCount val="3"/>
                <c:pt idx="0">
                  <c:v>Furniture</c:v>
                </c:pt>
                <c:pt idx="1">
                  <c:v>Office Supplies</c:v>
                </c:pt>
                <c:pt idx="2">
                  <c:v>Technology</c:v>
                </c:pt>
              </c:strCache>
            </c:strRef>
          </c:cat>
          <c:val>
            <c:numRef>
              <c:f>'Paviot Table &amp; Charts'!$B$3:$B$6</c:f>
              <c:numCache>
                <c:formatCode>#,##0</c:formatCode>
                <c:ptCount val="3"/>
                <c:pt idx="0">
                  <c:v>334615.00405599974</c:v>
                </c:pt>
                <c:pt idx="1">
                  <c:v>313117.26665999996</c:v>
                </c:pt>
                <c:pt idx="2">
                  <c:v>444975.11039000005</c:v>
                </c:pt>
              </c:numCache>
            </c:numRef>
          </c:val>
          <c:extLst>
            <c:ext xmlns:c16="http://schemas.microsoft.com/office/drawing/2014/chart" uri="{C3380CC4-5D6E-409C-BE32-E72D297353CC}">
              <c16:uniqueId val="{00000000-E745-45E1-B200-1AA930099797}"/>
            </c:ext>
          </c:extLst>
        </c:ser>
        <c:dLbls>
          <c:dLblPos val="outEnd"/>
          <c:showLegendKey val="0"/>
          <c:showVal val="1"/>
          <c:showCatName val="0"/>
          <c:showSerName val="0"/>
          <c:showPercent val="0"/>
          <c:showBubbleSize val="0"/>
        </c:dLbls>
        <c:gapWidth val="219"/>
        <c:overlap val="-27"/>
        <c:axId val="1656227872"/>
        <c:axId val="1656246592"/>
      </c:barChart>
      <c:catAx>
        <c:axId val="16562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246592"/>
        <c:crosses val="autoZero"/>
        <c:auto val="1"/>
        <c:lblAlgn val="ctr"/>
        <c:lblOffset val="100"/>
        <c:noMultiLvlLbl val="0"/>
      </c:catAx>
      <c:valAx>
        <c:axId val="1656246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2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Region</a:t>
            </a:r>
            <a:r>
              <a:rPr lang="en-US"/>
              <a:t>  </a:t>
            </a:r>
          </a:p>
        </c:rich>
      </c:tx>
      <c:layout>
        <c:manualLayout>
          <c:xMode val="edge"/>
          <c:yMode val="edge"/>
          <c:x val="0.31297926308829715"/>
          <c:y val="4.3952133102006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'Paviot Table &amp; Charts'!$B$13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D8-4A6B-A11B-71A278B4AC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D8-4A6B-A11B-71A278B4AC0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D8-4A6B-A11B-71A278B4AC0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D8-4A6B-A11B-71A278B4AC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'Paviot Table &amp; Charts'!$A$14:$A$18</c:f>
              <c:strCache>
                <c:ptCount val="4"/>
                <c:pt idx="0">
                  <c:v>Central</c:v>
                </c:pt>
                <c:pt idx="1">
                  <c:v>East</c:v>
                </c:pt>
                <c:pt idx="2">
                  <c:v>South</c:v>
                </c:pt>
                <c:pt idx="3">
                  <c:v>West</c:v>
                </c:pt>
              </c:strCache>
            </c:strRef>
          </c:cat>
          <c:val>
            <c:numRef>
              <c:f>'Paviot Table &amp; Charts'!$B$14:$B$18</c:f>
              <c:numCache>
                <c:formatCode>#,##0</c:formatCode>
                <c:ptCount val="4"/>
                <c:pt idx="0">
                  <c:v>336852.15473099996</c:v>
                </c:pt>
                <c:pt idx="1">
                  <c:v>259544.98843000008</c:v>
                </c:pt>
                <c:pt idx="2">
                  <c:v>211927.26518500008</c:v>
                </c:pt>
                <c:pt idx="3">
                  <c:v>284382.97275999998</c:v>
                </c:pt>
              </c:numCache>
            </c:numRef>
          </c:val>
          <c:extLst>
            <c:ext xmlns:c16="http://schemas.microsoft.com/office/drawing/2014/chart" uri="{C3380CC4-5D6E-409C-BE32-E72D297353CC}">
              <c16:uniqueId val="{00000008-F81F-4B09-965E-61563826F9D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'Paviot Table &amp; Charts'!$F$2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&amp; Charts'!$E$3:$E$13</c:f>
              <c:strCache>
                <c:ptCount val="10"/>
                <c:pt idx="0">
                  <c:v>California</c:v>
                </c:pt>
                <c:pt idx="1">
                  <c:v>Texas</c:v>
                </c:pt>
                <c:pt idx="2">
                  <c:v>New York</c:v>
                </c:pt>
                <c:pt idx="3">
                  <c:v>North Carolina</c:v>
                </c:pt>
                <c:pt idx="4">
                  <c:v>Pennsylvania</c:v>
                </c:pt>
                <c:pt idx="5">
                  <c:v>Ohio</c:v>
                </c:pt>
                <c:pt idx="6">
                  <c:v>Washington</c:v>
                </c:pt>
                <c:pt idx="7">
                  <c:v>Illinois</c:v>
                </c:pt>
                <c:pt idx="8">
                  <c:v>Minnesota</c:v>
                </c:pt>
                <c:pt idx="9">
                  <c:v>Michigan</c:v>
                </c:pt>
              </c:strCache>
            </c:strRef>
          </c:cat>
          <c:val>
            <c:numRef>
              <c:f>'Paviot Table &amp; Charts'!$F$3:$F$13</c:f>
              <c:numCache>
                <c:formatCode>General</c:formatCode>
                <c:ptCount val="10"/>
                <c:pt idx="0">
                  <c:v>65001.630080000003</c:v>
                </c:pt>
                <c:pt idx="1">
                  <c:v>45609.276315999981</c:v>
                </c:pt>
                <c:pt idx="2">
                  <c:v>41749.022379999988</c:v>
                </c:pt>
                <c:pt idx="3">
                  <c:v>29179.038879999996</c:v>
                </c:pt>
                <c:pt idx="4">
                  <c:v>21213.299880000002</c:v>
                </c:pt>
                <c:pt idx="5">
                  <c:v>19241.0262</c:v>
                </c:pt>
                <c:pt idx="6">
                  <c:v>17580.889339999998</c:v>
                </c:pt>
                <c:pt idx="7">
                  <c:v>17322.050935000003</c:v>
                </c:pt>
                <c:pt idx="8">
                  <c:v>17201.911280000008</c:v>
                </c:pt>
                <c:pt idx="9">
                  <c:v>16439.37356</c:v>
                </c:pt>
              </c:numCache>
            </c:numRef>
          </c:val>
          <c:extLst>
            <c:ext xmlns:c16="http://schemas.microsoft.com/office/drawing/2014/chart" uri="{C3380CC4-5D6E-409C-BE32-E72D297353CC}">
              <c16:uniqueId val="{00000002-31F4-492E-9EE3-64EB3DEC9578}"/>
            </c:ext>
          </c:extLst>
        </c:ser>
        <c:dLbls>
          <c:dLblPos val="outEnd"/>
          <c:showLegendKey val="0"/>
          <c:showVal val="1"/>
          <c:showCatName val="0"/>
          <c:showSerName val="0"/>
          <c:showPercent val="0"/>
          <c:showBubbleSize val="0"/>
        </c:dLbls>
        <c:gapWidth val="182"/>
        <c:axId val="1668300208"/>
        <c:axId val="1668307888"/>
      </c:barChart>
      <c:catAx>
        <c:axId val="16683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07888"/>
        <c:crosses val="autoZero"/>
        <c:auto val="1"/>
        <c:lblAlgn val="ctr"/>
        <c:lblOffset val="100"/>
        <c:noMultiLvlLbl val="0"/>
      </c:catAx>
      <c:valAx>
        <c:axId val="166830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'Paviot Table &amp; Charts'!$K$2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&amp; Charts'!$J$3:$J$13</c:f>
              <c:strCache>
                <c:ptCount val="10"/>
                <c:pt idx="0">
                  <c:v>Accessories</c:v>
                </c:pt>
                <c:pt idx="1">
                  <c:v>Machines</c:v>
                </c:pt>
                <c:pt idx="2">
                  <c:v>Tables</c:v>
                </c:pt>
                <c:pt idx="3">
                  <c:v>Phones</c:v>
                </c:pt>
                <c:pt idx="4">
                  <c:v>Binders</c:v>
                </c:pt>
                <c:pt idx="5">
                  <c:v>Chairs</c:v>
                </c:pt>
                <c:pt idx="6">
                  <c:v>Storage</c:v>
                </c:pt>
                <c:pt idx="7">
                  <c:v>Bookcases</c:v>
                </c:pt>
                <c:pt idx="8">
                  <c:v>Furnishings</c:v>
                </c:pt>
                <c:pt idx="9">
                  <c:v>Paper</c:v>
                </c:pt>
              </c:strCache>
            </c:strRef>
          </c:cat>
          <c:val>
            <c:numRef>
              <c:f>'Paviot Table &amp; Charts'!$K$3:$K$13</c:f>
              <c:numCache>
                <c:formatCode>#,##0</c:formatCode>
                <c:ptCount val="10"/>
                <c:pt idx="0">
                  <c:v>56987.994469999976</c:v>
                </c:pt>
                <c:pt idx="1">
                  <c:v>49224.879300000001</c:v>
                </c:pt>
                <c:pt idx="2">
                  <c:v>47139.204740000001</c:v>
                </c:pt>
                <c:pt idx="3">
                  <c:v>43727.072879999992</c:v>
                </c:pt>
                <c:pt idx="4">
                  <c:v>40403.952170000011</c:v>
                </c:pt>
                <c:pt idx="5">
                  <c:v>36096.710840000007</c:v>
                </c:pt>
                <c:pt idx="6">
                  <c:v>31732.910519999998</c:v>
                </c:pt>
                <c:pt idx="7">
                  <c:v>17914.169895999999</c:v>
                </c:pt>
                <c:pt idx="8">
                  <c:v>14107.057820000002</c:v>
                </c:pt>
                <c:pt idx="9">
                  <c:v>11845.178420000007</c:v>
                </c:pt>
              </c:numCache>
            </c:numRef>
          </c:val>
          <c:extLst>
            <c:ext xmlns:c16="http://schemas.microsoft.com/office/drawing/2014/chart" uri="{C3380CC4-5D6E-409C-BE32-E72D297353CC}">
              <c16:uniqueId val="{00000000-8266-4901-A43E-AC1D1EEB17C2}"/>
            </c:ext>
          </c:extLst>
        </c:ser>
        <c:dLbls>
          <c:showLegendKey val="0"/>
          <c:showVal val="1"/>
          <c:showCatName val="0"/>
          <c:showSerName val="0"/>
          <c:showPercent val="0"/>
          <c:showBubbleSize val="0"/>
        </c:dLbls>
        <c:axId val="1668304528"/>
        <c:axId val="1668298288"/>
      </c:areaChart>
      <c:catAx>
        <c:axId val="166830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298288"/>
        <c:crosses val="autoZero"/>
        <c:auto val="1"/>
        <c:lblAlgn val="ctr"/>
        <c:lblOffset val="100"/>
        <c:noMultiLvlLbl val="0"/>
      </c:catAx>
      <c:valAx>
        <c:axId val="1668298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04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Charts!PivotTable1</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a:t>
            </a:r>
            <a:r>
              <a:rPr lang="ar-EG"/>
              <a:t> </a:t>
            </a:r>
            <a:r>
              <a:rPr lang="en-US"/>
              <a:t>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'Paviot Table &amp; Charts'!$B$2</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 &amp; Charts'!$A$3:$A$6</c:f>
              <c:strCache>
                <c:ptCount val="3"/>
                <c:pt idx="0">
                  <c:v>Furniture</c:v>
                </c:pt>
                <c:pt idx="1">
                  <c:v>Office Supplies</c:v>
                </c:pt>
                <c:pt idx="2">
                  <c:v>Technology</c:v>
                </c:pt>
              </c:strCache>
            </c:strRef>
          </c:cat>
          <c:val>
            <c:numRef>
              <c:f>'Paviot Table &amp; Charts'!$B$3:$B$6</c:f>
              <c:numCache>
                <c:formatCode>#,##0</c:formatCode>
                <c:ptCount val="3"/>
                <c:pt idx="0">
                  <c:v>334615.00405599974</c:v>
                </c:pt>
                <c:pt idx="1">
                  <c:v>313117.26665999996</c:v>
                </c:pt>
                <c:pt idx="2">
                  <c:v>444975.11039000005</c:v>
                </c:pt>
              </c:numCache>
            </c:numRef>
          </c:val>
          <c:extLst>
            <c:ext xmlns:c16="http://schemas.microsoft.com/office/drawing/2014/chart" uri="{C3380CC4-5D6E-409C-BE32-E72D297353CC}">
              <c16:uniqueId val="{00000001-8B37-4CC2-AFF7-A6492D4B3491}"/>
            </c:ext>
          </c:extLst>
        </c:ser>
        <c:dLbls>
          <c:dLblPos val="outEnd"/>
          <c:showLegendKey val="0"/>
          <c:showVal val="1"/>
          <c:showCatName val="0"/>
          <c:showSerName val="0"/>
          <c:showPercent val="0"/>
          <c:showBubbleSize val="0"/>
        </c:dLbls>
        <c:gapWidth val="219"/>
        <c:overlap val="-27"/>
        <c:axId val="1656227872"/>
        <c:axId val="1656246592"/>
      </c:barChart>
      <c:catAx>
        <c:axId val="165622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6246592"/>
        <c:crosses val="autoZero"/>
        <c:auto val="1"/>
        <c:lblAlgn val="ctr"/>
        <c:lblOffset val="100"/>
        <c:noMultiLvlLbl val="0"/>
      </c:catAx>
      <c:valAx>
        <c:axId val="1656246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622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'Paviot Table &amp; Charts'!$K$2</c:f>
              <c:strCache>
                <c:ptCount val="1"/>
                <c:pt idx="0">
                  <c:v>Total</c:v>
                </c:pt>
              </c:strCache>
            </c:strRef>
          </c:tx>
          <c:spPr>
            <a:solidFill>
              <a:schemeClr val="accent3">
                <a:lumMod val="50000"/>
              </a:schemeClr>
            </a:solidFill>
            <a:ln w="25400">
              <a:noFill/>
            </a:ln>
            <a:effectLst/>
          </c:spPr>
          <c:cat>
            <c:strRef>
              <c:f>'Paviot Table &amp; Charts'!$J$3:$J$13</c:f>
              <c:strCache>
                <c:ptCount val="10"/>
                <c:pt idx="0">
                  <c:v>Accessories</c:v>
                </c:pt>
                <c:pt idx="1">
                  <c:v>Machines</c:v>
                </c:pt>
                <c:pt idx="2">
                  <c:v>Tables</c:v>
                </c:pt>
                <c:pt idx="3">
                  <c:v>Phones</c:v>
                </c:pt>
                <c:pt idx="4">
                  <c:v>Binders</c:v>
                </c:pt>
                <c:pt idx="5">
                  <c:v>Chairs</c:v>
                </c:pt>
                <c:pt idx="6">
                  <c:v>Storage</c:v>
                </c:pt>
                <c:pt idx="7">
                  <c:v>Bookcases</c:v>
                </c:pt>
                <c:pt idx="8">
                  <c:v>Furnishings</c:v>
                </c:pt>
                <c:pt idx="9">
                  <c:v>Paper</c:v>
                </c:pt>
              </c:strCache>
            </c:strRef>
          </c:cat>
          <c:val>
            <c:numRef>
              <c:f>'Paviot Table &amp; Charts'!$K$3:$K$13</c:f>
              <c:numCache>
                <c:formatCode>#,##0</c:formatCode>
                <c:ptCount val="10"/>
                <c:pt idx="0">
                  <c:v>56987.994469999976</c:v>
                </c:pt>
                <c:pt idx="1">
                  <c:v>49224.879300000001</c:v>
                </c:pt>
                <c:pt idx="2">
                  <c:v>47139.204740000001</c:v>
                </c:pt>
                <c:pt idx="3">
                  <c:v>43727.072879999992</c:v>
                </c:pt>
                <c:pt idx="4">
                  <c:v>40403.952170000011</c:v>
                </c:pt>
                <c:pt idx="5">
                  <c:v>36096.710840000007</c:v>
                </c:pt>
                <c:pt idx="6">
                  <c:v>31732.910519999998</c:v>
                </c:pt>
                <c:pt idx="7">
                  <c:v>17914.169895999999</c:v>
                </c:pt>
                <c:pt idx="8">
                  <c:v>14107.057820000002</c:v>
                </c:pt>
                <c:pt idx="9">
                  <c:v>11845.178420000007</c:v>
                </c:pt>
              </c:numCache>
            </c:numRef>
          </c:val>
          <c:extLst>
            <c:ext xmlns:c16="http://schemas.microsoft.com/office/drawing/2014/chart" uri="{C3380CC4-5D6E-409C-BE32-E72D297353CC}">
              <c16:uniqueId val="{00000001-69C0-4FB2-B265-8CD901509B4C}"/>
            </c:ext>
          </c:extLst>
        </c:ser>
        <c:dLbls>
          <c:showLegendKey val="0"/>
          <c:showVal val="0"/>
          <c:showCatName val="0"/>
          <c:showSerName val="0"/>
          <c:showPercent val="0"/>
          <c:showBubbleSize val="0"/>
        </c:dLbls>
        <c:axId val="1668304528"/>
        <c:axId val="1668298288"/>
      </c:areaChart>
      <c:catAx>
        <c:axId val="166830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298288"/>
        <c:crosses val="autoZero"/>
        <c:auto val="1"/>
        <c:lblAlgn val="ctr"/>
        <c:lblOffset val="100"/>
        <c:noMultiLvlLbl val="0"/>
      </c:catAx>
      <c:valAx>
        <c:axId val="1668298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304528"/>
        <c:crosses val="autoZero"/>
        <c:crossBetween val="midCat"/>
      </c:valAx>
      <c:spPr>
        <a:solidFill>
          <a:schemeClr val="accent3">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Charts!PivotTable2</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By Region  </a:t>
            </a:r>
          </a:p>
        </c:rich>
      </c:tx>
      <c:layout>
        <c:manualLayout>
          <c:xMode val="edge"/>
          <c:yMode val="edge"/>
          <c:x val="0.17627030798365392"/>
          <c:y val="4.39520436829818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w="25400">
            <a:solidFill>
              <a:schemeClr val="lt1"/>
            </a:solidFill>
          </a:ln>
          <a:effectLst/>
          <a:sp3d contourW="25400">
            <a:contourClr>
              <a:schemeClr val="lt1"/>
            </a:contourClr>
          </a:sp3d>
        </c:spPr>
      </c:pivotFmt>
      <c:pivotFmt>
        <c:idx val="12"/>
        <c:spPr>
          <a:solidFill>
            <a:schemeClr val="accent3">
              <a:lumMod val="60000"/>
              <a:lumOff val="40000"/>
            </a:schemeClr>
          </a:solidFill>
          <a:ln w="25400">
            <a:solidFill>
              <a:schemeClr val="lt1"/>
            </a:solidFill>
          </a:ln>
          <a:effectLst/>
          <a:sp3d contourW="25400">
            <a:contourClr>
              <a:schemeClr val="lt1"/>
            </a:contourClr>
          </a:sp3d>
        </c:spPr>
      </c:pivotFmt>
      <c:pivotFmt>
        <c:idx val="13"/>
        <c:spPr>
          <a:solidFill>
            <a:schemeClr val="accent3">
              <a:lumMod val="40000"/>
              <a:lumOff val="60000"/>
            </a:schemeClr>
          </a:solidFill>
          <a:ln w="25400">
            <a:solidFill>
              <a:schemeClr val="lt1"/>
            </a:solidFill>
          </a:ln>
          <a:effectLst/>
          <a:sp3d contourW="25400">
            <a:contourClr>
              <a:schemeClr val="lt1"/>
            </a:contourClr>
          </a:sp3d>
        </c:spPr>
      </c:pivotFmt>
      <c:pivotFmt>
        <c:idx val="14"/>
        <c:spPr>
          <a:solidFill>
            <a:schemeClr val="accent3">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'Paviot Table &amp; Charts'!$B$13</c:f>
              <c:strCache>
                <c:ptCount val="1"/>
                <c:pt idx="0">
                  <c:v>Total</c:v>
                </c:pt>
              </c:strCache>
            </c:strRef>
          </c:tx>
          <c:spPr>
            <a:solidFill>
              <a:schemeClr val="accent3">
                <a:lumMod val="50000"/>
              </a:schemeClr>
            </a:solidFill>
          </c:spPr>
          <c:dPt>
            <c:idx val="0"/>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EE-4F62-A09F-00E076DC923B}"/>
              </c:ext>
            </c:extLst>
          </c:dPt>
          <c:dPt>
            <c:idx val="1"/>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EE-4F62-A09F-00E076DC923B}"/>
              </c:ext>
            </c:extLst>
          </c:dPt>
          <c:dPt>
            <c:idx val="2"/>
            <c:bubble3D val="0"/>
            <c:spPr>
              <a:solidFill>
                <a:schemeClr val="accent3">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EE-4F62-A09F-00E076DC923B}"/>
              </c:ext>
            </c:extLst>
          </c:dPt>
          <c:dPt>
            <c:idx val="3"/>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EE-4F62-A09F-00E076DC923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'Paviot Table &amp; Charts'!$A$14:$A$18</c:f>
              <c:strCache>
                <c:ptCount val="4"/>
                <c:pt idx="0">
                  <c:v>Central</c:v>
                </c:pt>
                <c:pt idx="1">
                  <c:v>East</c:v>
                </c:pt>
                <c:pt idx="2">
                  <c:v>South</c:v>
                </c:pt>
                <c:pt idx="3">
                  <c:v>West</c:v>
                </c:pt>
              </c:strCache>
            </c:strRef>
          </c:cat>
          <c:val>
            <c:numRef>
              <c:f>'Paviot Table &amp; Charts'!$B$14:$B$18</c:f>
              <c:numCache>
                <c:formatCode>#,##0</c:formatCode>
                <c:ptCount val="4"/>
                <c:pt idx="0">
                  <c:v>336852.15473099996</c:v>
                </c:pt>
                <c:pt idx="1">
                  <c:v>259544.98843000008</c:v>
                </c:pt>
                <c:pt idx="2">
                  <c:v>211927.26518500008</c:v>
                </c:pt>
                <c:pt idx="3">
                  <c:v>284382.97275999998</c:v>
                </c:pt>
              </c:numCache>
            </c:numRef>
          </c:val>
          <c:extLst>
            <c:ext xmlns:c16="http://schemas.microsoft.com/office/drawing/2014/chart" uri="{C3380CC4-5D6E-409C-BE32-E72D297353CC}">
              <c16:uniqueId val="{00000009-F144-45E8-8355-3A39544B599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Dashboard_Mohamed Ahmed Elfar.xlsx]Paviot Table &amp; Charts!PivotTable3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Profit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'Paviot Table &amp; Charts'!$F$2</c:f>
              <c:strCache>
                <c:ptCount val="1"/>
                <c:pt idx="0">
                  <c:v>Total</c:v>
                </c:pt>
              </c:strCache>
            </c:strRef>
          </c:tx>
          <c:spPr>
            <a:solidFill>
              <a:schemeClr val="accent3">
                <a:lumMod val="50000"/>
              </a:schemeClr>
            </a:solidFill>
            <a:ln>
              <a:noFill/>
            </a:ln>
            <a:effectLst/>
          </c:spPr>
          <c:invertIfNegative val="0"/>
          <c:cat>
            <c:strRef>
              <c:f>'Paviot Table &amp; Charts'!$E$3:$E$13</c:f>
              <c:strCache>
                <c:ptCount val="10"/>
                <c:pt idx="0">
                  <c:v>California</c:v>
                </c:pt>
                <c:pt idx="1">
                  <c:v>Texas</c:v>
                </c:pt>
                <c:pt idx="2">
                  <c:v>New York</c:v>
                </c:pt>
                <c:pt idx="3">
                  <c:v>North Carolina</c:v>
                </c:pt>
                <c:pt idx="4">
                  <c:v>Pennsylvania</c:v>
                </c:pt>
                <c:pt idx="5">
                  <c:v>Ohio</c:v>
                </c:pt>
                <c:pt idx="6">
                  <c:v>Washington</c:v>
                </c:pt>
                <c:pt idx="7">
                  <c:v>Illinois</c:v>
                </c:pt>
                <c:pt idx="8">
                  <c:v>Minnesota</c:v>
                </c:pt>
                <c:pt idx="9">
                  <c:v>Michigan</c:v>
                </c:pt>
              </c:strCache>
            </c:strRef>
          </c:cat>
          <c:val>
            <c:numRef>
              <c:f>'Paviot Table &amp; Charts'!$F$3:$F$13</c:f>
              <c:numCache>
                <c:formatCode>General</c:formatCode>
                <c:ptCount val="10"/>
                <c:pt idx="0">
                  <c:v>65001.630080000003</c:v>
                </c:pt>
                <c:pt idx="1">
                  <c:v>45609.276315999981</c:v>
                </c:pt>
                <c:pt idx="2">
                  <c:v>41749.022379999988</c:v>
                </c:pt>
                <c:pt idx="3">
                  <c:v>29179.038879999996</c:v>
                </c:pt>
                <c:pt idx="4">
                  <c:v>21213.299880000002</c:v>
                </c:pt>
                <c:pt idx="5">
                  <c:v>19241.0262</c:v>
                </c:pt>
                <c:pt idx="6">
                  <c:v>17580.889339999998</c:v>
                </c:pt>
                <c:pt idx="7">
                  <c:v>17322.050935000003</c:v>
                </c:pt>
                <c:pt idx="8">
                  <c:v>17201.911280000008</c:v>
                </c:pt>
                <c:pt idx="9">
                  <c:v>16439.37356</c:v>
                </c:pt>
              </c:numCache>
            </c:numRef>
          </c:val>
          <c:extLst>
            <c:ext xmlns:c16="http://schemas.microsoft.com/office/drawing/2014/chart" uri="{C3380CC4-5D6E-409C-BE32-E72D297353CC}">
              <c16:uniqueId val="{00000003-04E3-4599-B0CC-E020570BF389}"/>
            </c:ext>
          </c:extLst>
        </c:ser>
        <c:dLbls>
          <c:showLegendKey val="0"/>
          <c:showVal val="0"/>
          <c:showCatName val="0"/>
          <c:showSerName val="0"/>
          <c:showPercent val="0"/>
          <c:showBubbleSize val="0"/>
        </c:dLbls>
        <c:gapWidth val="182"/>
        <c:axId val="1668300208"/>
        <c:axId val="1668307888"/>
      </c:barChart>
      <c:catAx>
        <c:axId val="16683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307888"/>
        <c:crosses val="autoZero"/>
        <c:auto val="1"/>
        <c:lblAlgn val="ctr"/>
        <c:lblOffset val="100"/>
        <c:noMultiLvlLbl val="0"/>
      </c:catAx>
      <c:valAx>
        <c:axId val="166830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830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47625</xdr:colOff>
      <xdr:row>26</xdr:row>
      <xdr:rowOff>38100</xdr:rowOff>
    </xdr:from>
    <xdr:to>
      <xdr:col>3</xdr:col>
      <xdr:colOff>609600</xdr:colOff>
      <xdr:row>38</xdr:row>
      <xdr:rowOff>95249</xdr:rowOff>
    </xdr:to>
    <xdr:graphicFrame macro="">
      <xdr:nvGraphicFramePr>
        <xdr:cNvPr id="4" name="Chart 3">
          <a:extLst>
            <a:ext uri="{FF2B5EF4-FFF2-40B4-BE49-F238E27FC236}">
              <a16:creationId xmlns:a16="http://schemas.microsoft.com/office/drawing/2014/main" id="{00959B8C-FA0A-5F77-1745-3C1525DA6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788592</xdr:colOff>
      <xdr:row>40</xdr:row>
      <xdr:rowOff>87711</xdr:rowOff>
    </xdr:from>
    <xdr:to>
      <xdr:col>8</xdr:col>
      <xdr:colOff>289719</xdr:colOff>
      <xdr:row>52</xdr:row>
      <xdr:rowOff>163911</xdr:rowOff>
    </xdr:to>
    <xdr:graphicFrame macro="">
      <xdr:nvGraphicFramePr>
        <xdr:cNvPr id="5" name="Chart 4">
          <a:extLst>
            <a:ext uri="{FF2B5EF4-FFF2-40B4-BE49-F238E27FC236}">
              <a16:creationId xmlns:a16="http://schemas.microsoft.com/office/drawing/2014/main" id="{3E2D9DB9-14C9-4B52-93F6-3BBD5002E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486172</xdr:colOff>
      <xdr:row>26</xdr:row>
      <xdr:rowOff>111123</xdr:rowOff>
    </xdr:from>
    <xdr:to>
      <xdr:col>18</xdr:col>
      <xdr:colOff>287735</xdr:colOff>
      <xdr:row>42</xdr:row>
      <xdr:rowOff>0</xdr:rowOff>
    </xdr:to>
    <xdr:graphicFrame macro="">
      <xdr:nvGraphicFramePr>
        <xdr:cNvPr id="6" name="Chart 5">
          <a:extLst>
            <a:ext uri="{FF2B5EF4-FFF2-40B4-BE49-F238E27FC236}">
              <a16:creationId xmlns:a16="http://schemas.microsoft.com/office/drawing/2014/main" id="{79CF7044-594E-DA13-7498-9FE51764B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463551</xdr:colOff>
      <xdr:row>24</xdr:row>
      <xdr:rowOff>142875</xdr:rowOff>
    </xdr:from>
    <xdr:to>
      <xdr:col>25</xdr:col>
      <xdr:colOff>530226</xdr:colOff>
      <xdr:row>39</xdr:row>
      <xdr:rowOff>19050</xdr:rowOff>
    </xdr:to>
    <xdr:graphicFrame macro="">
      <xdr:nvGraphicFramePr>
        <xdr:cNvPr id="7" name="Chart 6">
          <a:extLst>
            <a:ext uri="{FF2B5EF4-FFF2-40B4-BE49-F238E27FC236}">
              <a16:creationId xmlns:a16="http://schemas.microsoft.com/office/drawing/2014/main" id="{06322246-1260-9067-2A50-2D9710558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377825</xdr:colOff>
      <xdr:row>0</xdr:row>
      <xdr:rowOff>31750</xdr:rowOff>
    </xdr:from>
    <xdr:to>
      <xdr:col>19</xdr:col>
      <xdr:colOff>130175</xdr:colOff>
      <xdr:row>4</xdr:row>
      <xdr:rowOff>57150</xdr:rowOff>
    </xdr:to>
    <xdr:sp macro="" textlink="">
      <xdr:nvSpPr>
        <xdr:cNvPr id="2" name="Rectangle: Rounded Corners 1">
          <a:extLst>
            <a:ext uri="{FF2B5EF4-FFF2-40B4-BE49-F238E27FC236}">
              <a16:creationId xmlns:a16="http://schemas.microsoft.com/office/drawing/2014/main" id="{F783154D-D514-7EC3-C523-E58B97921403}"/>
            </a:ext>
          </a:extLst>
        </xdr:cNvPr>
        <xdr:cNvSpPr/>
      </xdr:nvSpPr>
      <xdr:spPr>
        <a:xfrm>
          <a:off x="377825" y="31750"/>
          <a:ext cx="11268941" cy="775855"/>
        </a:xfrm>
        <a:prstGeom prst="roundRect">
          <a:avLst/>
        </a:prstGeom>
        <a:solidFill>
          <a:schemeClr val="accent3">
            <a:lumMod val="50000"/>
          </a:schemeClr>
        </a:solid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US" sz="4000" b="1">
              <a:solidFill>
                <a:schemeClr val="bg1"/>
              </a:solidFill>
            </a:rPr>
            <a:t>     Sales Dashboard</a:t>
          </a:r>
        </a:p>
      </xdr:txBody>
    </xdr:sp>
    <xdr:clientData/>
  </xdr:twoCellAnchor>
  <xdr:twoCellAnchor>
    <xdr:from>
      <xdr:col>8</xdr:col>
      <xdr:colOff>165966</xdr:colOff>
      <xdr:row>0</xdr:row>
      <xdr:rowOff>95846</xdr:rowOff>
    </xdr:from>
    <xdr:to>
      <xdr:col>18</xdr:col>
      <xdr:colOff>274781</xdr:colOff>
      <xdr:row>4</xdr:row>
      <xdr:rowOff>6152</xdr:rowOff>
    </xdr:to>
    <xdr:grpSp>
      <xdr:nvGrpSpPr>
        <xdr:cNvPr id="6" name="Group 5">
          <a:extLst>
            <a:ext uri="{FF2B5EF4-FFF2-40B4-BE49-F238E27FC236}">
              <a16:creationId xmlns:a16="http://schemas.microsoft.com/office/drawing/2014/main" id="{05E2DAC4-0FA0-A928-54D0-E43722B84A92}"/>
            </a:ext>
          </a:extLst>
        </xdr:cNvPr>
        <xdr:cNvGrpSpPr/>
      </xdr:nvGrpSpPr>
      <xdr:grpSpPr>
        <a:xfrm>
          <a:off x="5015057" y="95846"/>
          <a:ext cx="6170179" cy="660761"/>
          <a:chOff x="5645154" y="4401146"/>
          <a:chExt cx="3698871" cy="637381"/>
        </a:xfrm>
        <a:solidFill>
          <a:schemeClr val="accent3">
            <a:lumMod val="75000"/>
          </a:schemeClr>
        </a:solidFill>
      </xdr:grpSpPr>
      <xdr:sp macro="" textlink="'Paviot Table &amp; Charts'!V8">
        <xdr:nvSpPr>
          <xdr:cNvPr id="3" name="Rectangle: Rounded Corners 2">
            <a:extLst>
              <a:ext uri="{FF2B5EF4-FFF2-40B4-BE49-F238E27FC236}">
                <a16:creationId xmlns:a16="http://schemas.microsoft.com/office/drawing/2014/main" id="{5D37288B-EA99-C319-6BE0-E90E64988CAF}"/>
              </a:ext>
            </a:extLst>
          </xdr:cNvPr>
          <xdr:cNvSpPr/>
        </xdr:nvSpPr>
        <xdr:spPr>
          <a:xfrm>
            <a:off x="8188325" y="4401146"/>
            <a:ext cx="1155700" cy="628650"/>
          </a:xfrm>
          <a:prstGeom prst="roundRect">
            <a:avLst/>
          </a:prstGeom>
          <a:grp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C38CD0CA-D4C9-446E-8B61-11A86BD92BD5}" type="TxLink">
              <a:rPr lang="en-US" sz="1100" b="0" i="0" u="none" strike="noStrike">
                <a:solidFill>
                  <a:srgbClr val="000000"/>
                </a:solidFill>
                <a:latin typeface="Aptos Narrow"/>
              </a:rPr>
              <a:pPr algn="ctr"/>
              <a:t> 703,465 </a:t>
            </a:fld>
            <a:endParaRPr lang="en-US" sz="1100"/>
          </a:p>
        </xdr:txBody>
      </xdr:sp>
      <xdr:sp macro="" textlink="'Paviot Table &amp; Charts'!O8">
        <xdr:nvSpPr>
          <xdr:cNvPr id="4" name="Rectangle: Rounded Corners 3">
            <a:extLst>
              <a:ext uri="{FF2B5EF4-FFF2-40B4-BE49-F238E27FC236}">
                <a16:creationId xmlns:a16="http://schemas.microsoft.com/office/drawing/2014/main" id="{E8114D1F-C35F-4A9C-8355-760E32FC4CF2}"/>
              </a:ext>
            </a:extLst>
          </xdr:cNvPr>
          <xdr:cNvSpPr/>
        </xdr:nvSpPr>
        <xdr:spPr>
          <a:xfrm>
            <a:off x="5645154" y="4413052"/>
            <a:ext cx="1149350" cy="625475"/>
          </a:xfrm>
          <a:prstGeom prst="roundRect">
            <a:avLst/>
          </a:prstGeom>
          <a:grp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D6F60192-9BA9-402F-976D-4C79077B3213}" type="TxLink">
              <a:rPr lang="en-US" sz="1100" b="0" i="0" u="none" strike="noStrike">
                <a:solidFill>
                  <a:srgbClr val="000000"/>
                </a:solidFill>
                <a:latin typeface="Aptos Narrow"/>
              </a:rPr>
              <a:pPr algn="ctr"/>
              <a:t> 1,092,707 </a:t>
            </a:fld>
            <a:endParaRPr lang="en-US" sz="1100"/>
          </a:p>
        </xdr:txBody>
      </xdr:sp>
      <xdr:sp macro="" textlink="'Paviot Table &amp; Charts'!R8">
        <xdr:nvSpPr>
          <xdr:cNvPr id="5" name="Rectangle: Rounded Corners 4">
            <a:extLst>
              <a:ext uri="{FF2B5EF4-FFF2-40B4-BE49-F238E27FC236}">
                <a16:creationId xmlns:a16="http://schemas.microsoft.com/office/drawing/2014/main" id="{79CE6B6F-A042-41ED-9AF5-8A8875DBAD9A}"/>
              </a:ext>
            </a:extLst>
          </xdr:cNvPr>
          <xdr:cNvSpPr/>
        </xdr:nvSpPr>
        <xdr:spPr>
          <a:xfrm>
            <a:off x="6915150" y="4405909"/>
            <a:ext cx="1152525" cy="619125"/>
          </a:xfrm>
          <a:prstGeom prst="roundRect">
            <a:avLst/>
          </a:prstGeom>
          <a:grpFill/>
          <a:ln>
            <a:no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b"/>
          <a:lstStyle/>
          <a:p>
            <a:pPr algn="ctr"/>
            <a:fld id="{C24AA05E-6E87-44F0-9DD0-FD26ACA06CB2}" type="TxLink">
              <a:rPr lang="en-US" sz="1100" b="0" i="0" u="none" strike="noStrike">
                <a:solidFill>
                  <a:srgbClr val="000000"/>
                </a:solidFill>
                <a:latin typeface="Aptos Narrow"/>
              </a:rPr>
              <a:pPr algn="ctr"/>
              <a:t> 389,242 </a:t>
            </a:fld>
            <a:endParaRPr lang="en-US" sz="1100"/>
          </a:p>
        </xdr:txBody>
      </xdr:sp>
    </xdr:grpSp>
    <xdr:clientData/>
  </xdr:twoCellAnchor>
  <xdr:twoCellAnchor>
    <xdr:from>
      <xdr:col>0</xdr:col>
      <xdr:colOff>31750</xdr:colOff>
      <xdr:row>4</xdr:row>
      <xdr:rowOff>107949</xdr:rowOff>
    </xdr:from>
    <xdr:to>
      <xdr:col>18</xdr:col>
      <xdr:colOff>324715</xdr:colOff>
      <xdr:row>23</xdr:row>
      <xdr:rowOff>120649</xdr:rowOff>
    </xdr:to>
    <xdr:grpSp>
      <xdr:nvGrpSpPr>
        <xdr:cNvPr id="11" name="Group 10">
          <a:extLst>
            <a:ext uri="{FF2B5EF4-FFF2-40B4-BE49-F238E27FC236}">
              <a16:creationId xmlns:a16="http://schemas.microsoft.com/office/drawing/2014/main" id="{8EC4436B-FA38-2C5C-E195-0055440DF09B}"/>
            </a:ext>
          </a:extLst>
        </xdr:cNvPr>
        <xdr:cNvGrpSpPr/>
      </xdr:nvGrpSpPr>
      <xdr:grpSpPr>
        <a:xfrm>
          <a:off x="31750" y="858404"/>
          <a:ext cx="11203420" cy="3577359"/>
          <a:chOff x="0" y="5070303"/>
          <a:chExt cx="9436180" cy="4026117"/>
        </a:xfrm>
        <a:solidFill>
          <a:schemeClr val="accent3">
            <a:lumMod val="75000"/>
          </a:schemeClr>
        </a:solidFill>
      </xdr:grpSpPr>
      <xdr:sp macro="" textlink="">
        <xdr:nvSpPr>
          <xdr:cNvPr id="7" name="Rectangle: Rounded Corners 6">
            <a:extLst>
              <a:ext uri="{FF2B5EF4-FFF2-40B4-BE49-F238E27FC236}">
                <a16:creationId xmlns:a16="http://schemas.microsoft.com/office/drawing/2014/main" id="{FBFC2A41-2F2E-933E-B675-FDB9C46C458C}"/>
              </a:ext>
            </a:extLst>
          </xdr:cNvPr>
          <xdr:cNvSpPr/>
        </xdr:nvSpPr>
        <xdr:spPr>
          <a:xfrm>
            <a:off x="0" y="5077585"/>
            <a:ext cx="2743201" cy="4018798"/>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575F6423-09C5-4A82-AB34-CAF234178A60}"/>
              </a:ext>
            </a:extLst>
          </xdr:cNvPr>
          <xdr:cNvSpPr/>
        </xdr:nvSpPr>
        <xdr:spPr>
          <a:xfrm>
            <a:off x="2755906" y="5077585"/>
            <a:ext cx="3111500" cy="401883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7F4AA010-D2E6-4D1E-A4B4-217673FDC8F0}"/>
              </a:ext>
            </a:extLst>
          </xdr:cNvPr>
          <xdr:cNvSpPr/>
        </xdr:nvSpPr>
        <xdr:spPr>
          <a:xfrm>
            <a:off x="5924730" y="5070303"/>
            <a:ext cx="3468907" cy="204169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26EE870A-E423-43C4-B52C-71C9DA4AD7D2}"/>
              </a:ext>
            </a:extLst>
          </xdr:cNvPr>
          <xdr:cNvSpPr/>
        </xdr:nvSpPr>
        <xdr:spPr>
          <a:xfrm>
            <a:off x="5906621" y="7136086"/>
            <a:ext cx="3529559" cy="19431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107950</xdr:colOff>
      <xdr:row>6</xdr:row>
      <xdr:rowOff>63500</xdr:rowOff>
    </xdr:from>
    <xdr:to>
      <xdr:col>5</xdr:col>
      <xdr:colOff>101600</xdr:colOff>
      <xdr:row>22</xdr:row>
      <xdr:rowOff>120650</xdr:rowOff>
    </xdr:to>
    <xdr:graphicFrame macro="">
      <xdr:nvGraphicFramePr>
        <xdr:cNvPr id="16" name="Chart 15">
          <a:extLst>
            <a:ext uri="{FF2B5EF4-FFF2-40B4-BE49-F238E27FC236}">
              <a16:creationId xmlns:a16="http://schemas.microsoft.com/office/drawing/2014/main" id="{3EB14A6A-0D72-4C15-B8A4-13FA10D47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361950</xdr:colOff>
      <xdr:row>6</xdr:row>
      <xdr:rowOff>19050</xdr:rowOff>
    </xdr:from>
    <xdr:to>
      <xdr:col>11</xdr:col>
      <xdr:colOff>114300</xdr:colOff>
      <xdr:row>22</xdr:row>
      <xdr:rowOff>31750</xdr:rowOff>
    </xdr:to>
    <xdr:graphicFrame macro="">
      <xdr:nvGraphicFramePr>
        <xdr:cNvPr id="17" name="Chart 16">
          <a:extLst>
            <a:ext uri="{FF2B5EF4-FFF2-40B4-BE49-F238E27FC236}">
              <a16:creationId xmlns:a16="http://schemas.microsoft.com/office/drawing/2014/main" id="{920B9859-5DB6-488C-A0C2-7911BA797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571500</xdr:colOff>
      <xdr:row>5</xdr:row>
      <xdr:rowOff>76200</xdr:rowOff>
    </xdr:from>
    <xdr:to>
      <xdr:col>17</xdr:col>
      <xdr:colOff>12700</xdr:colOff>
      <xdr:row>13</xdr:row>
      <xdr:rowOff>114300</xdr:rowOff>
    </xdr:to>
    <xdr:graphicFrame macro="">
      <xdr:nvGraphicFramePr>
        <xdr:cNvPr id="18" name="Chart 17">
          <a:extLst>
            <a:ext uri="{FF2B5EF4-FFF2-40B4-BE49-F238E27FC236}">
              <a16:creationId xmlns:a16="http://schemas.microsoft.com/office/drawing/2014/main" id="{E35958BF-C016-45F3-894D-5DA1F4265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325005</xdr:colOff>
      <xdr:row>0</xdr:row>
      <xdr:rowOff>129886</xdr:rowOff>
    </xdr:from>
    <xdr:to>
      <xdr:col>11</xdr:col>
      <xdr:colOff>158750</xdr:colOff>
      <xdr:row>2</xdr:row>
      <xdr:rowOff>167409</xdr:rowOff>
    </xdr:to>
    <xdr:sp macro="" textlink="">
      <xdr:nvSpPr>
        <xdr:cNvPr id="23" name="TextBox 22">
          <a:extLst>
            <a:ext uri="{FF2B5EF4-FFF2-40B4-BE49-F238E27FC236}">
              <a16:creationId xmlns:a16="http://schemas.microsoft.com/office/drawing/2014/main" id="{F82F36D4-4D21-D84B-F623-1CD269A6C3AD}"/>
            </a:ext>
          </a:extLst>
        </xdr:cNvPr>
        <xdr:cNvSpPr txBox="1"/>
      </xdr:nvSpPr>
      <xdr:spPr>
        <a:xfrm>
          <a:off x="5174096" y="129886"/>
          <a:ext cx="1652154" cy="412750"/>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 Sales</a:t>
          </a:r>
        </a:p>
      </xdr:txBody>
    </xdr:sp>
    <xdr:clientData/>
  </xdr:twoCellAnchor>
  <xdr:twoCellAnchor>
    <xdr:from>
      <xdr:col>12</xdr:col>
      <xdr:colOff>137680</xdr:colOff>
      <xdr:row>0</xdr:row>
      <xdr:rowOff>114300</xdr:rowOff>
    </xdr:from>
    <xdr:to>
      <xdr:col>14</xdr:col>
      <xdr:colOff>328179</xdr:colOff>
      <xdr:row>2</xdr:row>
      <xdr:rowOff>107950</xdr:rowOff>
    </xdr:to>
    <xdr:sp macro="" textlink="">
      <xdr:nvSpPr>
        <xdr:cNvPr id="24" name="TextBox 23">
          <a:extLst>
            <a:ext uri="{FF2B5EF4-FFF2-40B4-BE49-F238E27FC236}">
              <a16:creationId xmlns:a16="http://schemas.microsoft.com/office/drawing/2014/main" id="{5CEB5AE0-FCA7-B9E6-BB04-68616ADDFBAA}"/>
            </a:ext>
          </a:extLst>
        </xdr:cNvPr>
        <xdr:cNvSpPr txBox="1"/>
      </xdr:nvSpPr>
      <xdr:spPr>
        <a:xfrm>
          <a:off x="7411316" y="114300"/>
          <a:ext cx="1402772" cy="368877"/>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a:t>
          </a:r>
          <a:r>
            <a:rPr lang="en-US" sz="2000" b="1" baseline="0">
              <a:solidFill>
                <a:schemeClr val="bg1"/>
              </a:solidFill>
            </a:rPr>
            <a:t> Profit</a:t>
          </a:r>
          <a:endParaRPr lang="en-US" sz="2000" b="1">
            <a:solidFill>
              <a:schemeClr val="bg1"/>
            </a:solidFill>
          </a:endParaRPr>
        </a:p>
      </xdr:txBody>
    </xdr:sp>
    <xdr:clientData/>
  </xdr:twoCellAnchor>
  <xdr:twoCellAnchor>
    <xdr:from>
      <xdr:col>15</xdr:col>
      <xdr:colOff>442480</xdr:colOff>
      <xdr:row>0</xdr:row>
      <xdr:rowOff>92652</xdr:rowOff>
    </xdr:from>
    <xdr:to>
      <xdr:col>17</xdr:col>
      <xdr:colOff>531380</xdr:colOff>
      <xdr:row>2</xdr:row>
      <xdr:rowOff>111702</xdr:rowOff>
    </xdr:to>
    <xdr:sp macro="" textlink="">
      <xdr:nvSpPr>
        <xdr:cNvPr id="25" name="TextBox 24">
          <a:extLst>
            <a:ext uri="{FF2B5EF4-FFF2-40B4-BE49-F238E27FC236}">
              <a16:creationId xmlns:a16="http://schemas.microsoft.com/office/drawing/2014/main" id="{3B154458-2AA9-62A3-9615-7149BF68556B}"/>
            </a:ext>
          </a:extLst>
        </xdr:cNvPr>
        <xdr:cNvSpPr txBox="1"/>
      </xdr:nvSpPr>
      <xdr:spPr>
        <a:xfrm>
          <a:off x="9534525" y="92652"/>
          <a:ext cx="1301173" cy="394277"/>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Total</a:t>
          </a:r>
          <a:r>
            <a:rPr lang="en-US" sz="2000" b="1" baseline="0">
              <a:solidFill>
                <a:schemeClr val="bg1"/>
              </a:solidFill>
            </a:rPr>
            <a:t> Cost</a:t>
          </a:r>
          <a:endParaRPr lang="en-US" sz="2000" b="1">
            <a:solidFill>
              <a:schemeClr val="bg1"/>
            </a:solidFill>
          </a:endParaRPr>
        </a:p>
      </xdr:txBody>
    </xdr:sp>
    <xdr:clientData/>
  </xdr:twoCellAnchor>
  <xdr:twoCellAnchor>
    <xdr:from>
      <xdr:col>11</xdr:col>
      <xdr:colOff>533977</xdr:colOff>
      <xdr:row>14</xdr:row>
      <xdr:rowOff>137102</xdr:rowOff>
    </xdr:from>
    <xdr:to>
      <xdr:col>18</xdr:col>
      <xdr:colOff>209262</xdr:colOff>
      <xdr:row>23</xdr:row>
      <xdr:rowOff>36079</xdr:rowOff>
    </xdr:to>
    <xdr:graphicFrame macro="">
      <xdr:nvGraphicFramePr>
        <xdr:cNvPr id="26" name="Chart 25">
          <a:extLst>
            <a:ext uri="{FF2B5EF4-FFF2-40B4-BE49-F238E27FC236}">
              <a16:creationId xmlns:a16="http://schemas.microsoft.com/office/drawing/2014/main" id="{D19055B5-B1E8-4AE2-92A9-4C0F00A52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526762</xdr:colOff>
      <xdr:row>1</xdr:row>
      <xdr:rowOff>86591</xdr:rowOff>
    </xdr:from>
    <xdr:to>
      <xdr:col>12</xdr:col>
      <xdr:colOff>268765</xdr:colOff>
      <xdr:row>3</xdr:row>
      <xdr:rowOff>173182</xdr:rowOff>
    </xdr:to>
    <xdr:pic>
      <xdr:nvPicPr>
        <xdr:cNvPr id="36" name="Graphic 35" descr="Flying Money outline">
          <a:extLst>
            <a:ext uri="{FF2B5EF4-FFF2-40B4-BE49-F238E27FC236}">
              <a16:creationId xmlns:a16="http://schemas.microsoft.com/office/drawing/2014/main" id="{B624994B-A94B-68EE-1515-BE195933F8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94262" y="274205"/>
          <a:ext cx="348139" cy="461818"/>
        </a:xfrm>
        <a:prstGeom prst="rect">
          <a:avLst/>
        </a:prstGeom>
      </xdr:spPr>
    </xdr:pic>
    <xdr:clientData/>
  </xdr:twoCellAnchor>
  <xdr:twoCellAnchor editAs="oneCell">
    <xdr:from>
      <xdr:col>15</xdr:col>
      <xdr:colOff>187614</xdr:colOff>
      <xdr:row>1</xdr:row>
      <xdr:rowOff>86590</xdr:rowOff>
    </xdr:from>
    <xdr:to>
      <xdr:col>16</xdr:col>
      <xdr:colOff>72159</xdr:colOff>
      <xdr:row>4</xdr:row>
      <xdr:rowOff>14431</xdr:rowOff>
    </xdr:to>
    <xdr:pic>
      <xdr:nvPicPr>
        <xdr:cNvPr id="38" name="Graphic 37" descr="Coins outline">
          <a:extLst>
            <a:ext uri="{FF2B5EF4-FFF2-40B4-BE49-F238E27FC236}">
              <a16:creationId xmlns:a16="http://schemas.microsoft.com/office/drawing/2014/main" id="{75A2403C-F6C1-36C1-FC8D-168FCCB5D0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279659" y="274204"/>
          <a:ext cx="490682" cy="490682"/>
        </a:xfrm>
        <a:prstGeom prst="rect">
          <a:avLst/>
        </a:prstGeom>
      </xdr:spPr>
    </xdr:pic>
    <xdr:clientData/>
  </xdr:twoCellAnchor>
  <xdr:twoCellAnchor editAs="oneCell">
    <xdr:from>
      <xdr:col>0</xdr:col>
      <xdr:colOff>72160</xdr:colOff>
      <xdr:row>0</xdr:row>
      <xdr:rowOff>64944</xdr:rowOff>
    </xdr:from>
    <xdr:to>
      <xdr:col>1</xdr:col>
      <xdr:colOff>216478</xdr:colOff>
      <xdr:row>4</xdr:row>
      <xdr:rowOff>64943</xdr:rowOff>
    </xdr:to>
    <xdr:pic>
      <xdr:nvPicPr>
        <xdr:cNvPr id="40" name="Graphic 39" descr="Store outline">
          <a:extLst>
            <a:ext uri="{FF2B5EF4-FFF2-40B4-BE49-F238E27FC236}">
              <a16:creationId xmlns:a16="http://schemas.microsoft.com/office/drawing/2014/main" id="{2A84EAFC-0389-5311-85DE-69F1AC7C5B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160" y="64944"/>
          <a:ext cx="750454" cy="750454"/>
        </a:xfrm>
        <a:prstGeom prst="rect">
          <a:avLst/>
        </a:prstGeom>
      </xdr:spPr>
    </xdr:pic>
    <xdr:clientData/>
  </xdr:twoCellAnchor>
  <xdr:twoCellAnchor editAs="oneCell">
    <xdr:from>
      <xdr:col>8</xdr:col>
      <xdr:colOff>158749</xdr:colOff>
      <xdr:row>1</xdr:row>
      <xdr:rowOff>14431</xdr:rowOff>
    </xdr:from>
    <xdr:to>
      <xdr:col>8</xdr:col>
      <xdr:colOff>526761</xdr:colOff>
      <xdr:row>3</xdr:row>
      <xdr:rowOff>7216</xdr:rowOff>
    </xdr:to>
    <xdr:pic>
      <xdr:nvPicPr>
        <xdr:cNvPr id="42" name="Graphic 41" descr="Euro outline">
          <a:extLst>
            <a:ext uri="{FF2B5EF4-FFF2-40B4-BE49-F238E27FC236}">
              <a16:creationId xmlns:a16="http://schemas.microsoft.com/office/drawing/2014/main" id="{5F3864F1-A9A5-51BA-1056-3684904D53F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07840" y="202045"/>
          <a:ext cx="368012" cy="368012"/>
        </a:xfrm>
        <a:prstGeom prst="rect">
          <a:avLst/>
        </a:prstGeom>
      </xdr:spPr>
    </xdr:pic>
    <xdr:clientData/>
  </xdr:twoCellAnchor>
  <xdr:twoCellAnchor editAs="oneCell">
    <xdr:from>
      <xdr:col>20</xdr:col>
      <xdr:colOff>325291</xdr:colOff>
      <xdr:row>8</xdr:row>
      <xdr:rowOff>137102</xdr:rowOff>
    </xdr:from>
    <xdr:to>
      <xdr:col>22</xdr:col>
      <xdr:colOff>324715</xdr:colOff>
      <xdr:row>23</xdr:row>
      <xdr:rowOff>21646</xdr:rowOff>
    </xdr:to>
    <mc:AlternateContent xmlns:mc="http://schemas.openxmlformats.org/markup-compatibility/2006" xmlns:a14="http://schemas.microsoft.com/office/drawing/2010/main">
      <mc:Choice Requires="a14">
        <xdr:graphicFrame macro="">
          <xdr:nvGraphicFramePr>
            <xdr:cNvPr id="44" name="category">
              <a:extLst>
                <a:ext uri="{FF2B5EF4-FFF2-40B4-BE49-F238E27FC236}">
                  <a16:creationId xmlns:a16="http://schemas.microsoft.com/office/drawing/2014/main" id="{A4132409-A548-A4CB-9DAE-1FA1940FD7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48018" y="1638011"/>
              <a:ext cx="1211697" cy="269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411307</xdr:colOff>
      <xdr:row>8</xdr:row>
      <xdr:rowOff>137104</xdr:rowOff>
    </xdr:from>
    <xdr:to>
      <xdr:col>20</xdr:col>
      <xdr:colOff>303069</xdr:colOff>
      <xdr:row>23</xdr:row>
      <xdr:rowOff>43295</xdr:rowOff>
    </xdr:to>
    <mc:AlternateContent xmlns:mc="http://schemas.openxmlformats.org/markup-compatibility/2006">
      <mc:Choice xmlns:a14="http://schemas.microsoft.com/office/drawing/2010/main" Requires="a14">
        <xdr:graphicFrame macro="">
          <xdr:nvGraphicFramePr>
            <xdr:cNvPr id="45" name="State">
              <a:extLst>
                <a:ext uri="{FF2B5EF4-FFF2-40B4-BE49-F238E27FC236}">
                  <a16:creationId xmlns:a16="http://schemas.microsoft.com/office/drawing/2014/main" id="{0834954F-2B1D-4FD6-5E81-924D2F0F25F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321762" y="1638013"/>
              <a:ext cx="1104034" cy="2720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425738</xdr:colOff>
      <xdr:row>1</xdr:row>
      <xdr:rowOff>22225</xdr:rowOff>
    </xdr:from>
    <xdr:to>
      <xdr:col>22</xdr:col>
      <xdr:colOff>324716</xdr:colOff>
      <xdr:row>8</xdr:row>
      <xdr:rowOff>64944</xdr:rowOff>
    </xdr:to>
    <mc:AlternateContent xmlns:mc="http://schemas.openxmlformats.org/markup-compatibility/2006">
      <mc:Choice xmlns:tsle="http://schemas.microsoft.com/office/drawing/2012/timeslicer" Requires="tsle">
        <xdr:graphicFrame macro="">
          <xdr:nvGraphicFramePr>
            <xdr:cNvPr id="46" name="Shap Date">
              <a:extLst>
                <a:ext uri="{FF2B5EF4-FFF2-40B4-BE49-F238E27FC236}">
                  <a16:creationId xmlns:a16="http://schemas.microsoft.com/office/drawing/2014/main" id="{9AC5BC79-0D68-7F3A-3717-EB26BBF74AC6}"/>
                </a:ext>
              </a:extLst>
            </xdr:cNvPr>
            <xdr:cNvGraphicFramePr/>
          </xdr:nvGraphicFramePr>
          <xdr:xfrm>
            <a:off x="0" y="0"/>
            <a:ext cx="0" cy="0"/>
          </xdr:xfrm>
          <a:graphic>
            <a:graphicData uri="http://schemas.microsoft.com/office/drawing/2012/timeslicer">
              <tsle:timeslicer xmlns:tsle="http://schemas.microsoft.com/office/drawing/2012/timeslicer" name="Shap Date"/>
            </a:graphicData>
          </a:graphic>
        </xdr:graphicFrame>
      </mc:Choice>
      <mc:Fallback>
        <xdr:sp macro="" textlink="">
          <xdr:nvSpPr>
            <xdr:cNvPr id="0" name=""/>
            <xdr:cNvSpPr>
              <a:spLocks noTextEdit="1"/>
            </xdr:cNvSpPr>
          </xdr:nvSpPr>
          <xdr:spPr>
            <a:xfrm>
              <a:off x="11336193" y="209839"/>
              <a:ext cx="2323523" cy="135601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37.694863888886" backgroundQuery="1" createdVersion="8" refreshedVersion="8" minRefreshableVersion="3" recordCount="0" supportSubquery="1" supportAdvancedDrill="1" xr:uid="{48C8338B-4354-41BA-B8CE-BBDA68514F05}">
  <cacheSource type="external" connectionId="9"/>
  <cacheFields count="3">
    <cacheField name="[Dim Cutomer Data].[State].[State]" caption="State" numFmtId="0" hierarchy="13" level="1">
      <sharedItems count="10">
        <s v="California"/>
        <s v="Illinois"/>
        <s v="Michigan"/>
        <s v="Minnesota"/>
        <s v="New York"/>
        <s v="North Carolina"/>
        <s v="Ohio"/>
        <s v="Pennsylvania"/>
        <s v="Texas"/>
        <s v="Washington"/>
      </sharedItems>
    </cacheField>
    <cacheField name="[Measures].[Sum of Profit]" caption="Sum of Profit" numFmtId="0" hierarchy="38" level="32767"/>
    <cacheField name="[Calendar].[Date].[Date]" caption="Date" numFmtId="0"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0"/>
      </fieldsUsage>
    </cacheHierarchy>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oneField="1">
      <fieldsUsage count="1">
        <fieldUsage x="1"/>
      </fieldsUsage>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6782408" backgroundQuery="1" createdVersion="8" refreshedVersion="8" minRefreshableVersion="3" recordCount="0" supportSubquery="1" supportAdvancedDrill="1" xr:uid="{1F6F1EF0-B6AC-48FD-8986-BEABFA4CE0FD}">
  <cacheSource type="external" connectionId="9"/>
  <cacheFields count="5">
    <cacheField name="[Dim Cutomer Data].[Region].[Region]" caption="Region" numFmtId="0" hierarchy="15" level="1">
      <sharedItems count="4">
        <s v="Central"/>
        <s v="East"/>
        <s v="South"/>
        <s v="West"/>
      </sharedItems>
    </cacheField>
    <cacheField name="[Measures].[Sum of Total Sales]" caption="Sum of Total Sales" numFmtId="0" hierarchy="37" level="32767"/>
    <cacheField name="[Calendar].[Quarter].[Quarter]" caption="Quarter" numFmtId="0" hierarchy="8" level="1">
      <sharedItems containsSemiMixedTypes="0" containsNonDate="0" containsString="0"/>
    </cacheField>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2"/>
      </fieldsUsage>
    </cacheHierarchy>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4"/>
      </fieldsUsage>
    </cacheHierarchy>
    <cacheHierarchy uniqueName="[Dim Cutomer Data].[Postal Code]" caption="Postal Code" attribute="1" defaultMemberUniqueName="[Dim Cutomer Data].[Postal Code].[All]" allUniqueName="[Dim Cutomer Data].[Postal Code].[All]" dimensionUniqueName="[Dim Cutomer Data]" displayFolder="" count="2" memberValueDatatype="20" unbalanced="0"/>
    <cacheHierarchy uniqueName="[Dim Cutomer Data].[Region]" caption="Region" attribute="1" defaultMemberUniqueName="[Dim Cutomer Data].[Region].[All]" allUniqueName="[Dim Cutomer Data].[Region].[All]" dimensionUniqueName="[Dim Cutomer Data]"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2" memberValueDatatype="2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Sales Orders].[cost2]" caption="cost2" attribute="1" defaultMemberUniqueName="[Sales Orders].[cost2].[All]" allUniqueName="[Sales Orders].[cost2].[All]" dimensionUniqueName="[Sales Orders]" displayFolder="" count="2"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2" memberValueDatatype="130" unbalanced="0"/>
    <cacheHierarchy uniqueName="[Sales Orders].[Add Column2]" caption="Add Column2" attribute="1" defaultMemberUniqueName="[Sales Orders].[Add Column2].[All]" allUniqueName="[Sales Orders].[Add Column2].[All]" dimensionUniqueName="[Sales Orders]" displayFolder="" count="2" memberValueDatatype="20" unbalanced="0"/>
    <cacheHierarchy uniqueName="[Measures].[Sum of Total Sales]" caption="Sum of Total Sales" measure="1" displayFolder="" measureGroup="Sales 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7361108" backgroundQuery="1" createdVersion="8" refreshedVersion="8" minRefreshableVersion="3" recordCount="0" supportSubquery="1" supportAdvancedDrill="1" xr:uid="{E51AE68C-7916-437B-B51F-B5BCE0F1C933}">
  <cacheSource type="external" connectionId="9"/>
  <cacheFields count="4">
    <cacheField name="[Products].[Product Category].[Product Category]" caption="Product Category" numFmtId="0" hierarchy="17" level="1">
      <sharedItems count="3">
        <s v="Furniture"/>
        <s v="Office Supplies"/>
        <s v="Technology"/>
      </sharedItems>
    </cacheField>
    <cacheField name="[Measures].[Sum of Total Sales]" caption="Sum of Total Sales" numFmtId="0" hierarchy="37" level="32767"/>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3"/>
      </fieldsUsage>
    </cacheHierarchy>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7476854" backgroundQuery="1" createdVersion="8" refreshedVersion="8" minRefreshableVersion="3" recordCount="0" supportSubquery="1" supportAdvancedDrill="1" xr:uid="{BDC4D312-49B7-44A1-AA1C-F6AE40DD96F0}">
  <cacheSource type="external" connectionId="9"/>
  <cacheFields count="3">
    <cacheField name="[Measures].[tcost]" caption="tcost" numFmtId="0" hierarchy="40" level="32767"/>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2"/>
      </fieldsUsage>
    </cacheHierarchy>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oneField="1">
      <fieldsUsage count="1">
        <fieldUsage x="0"/>
      </fieldsUsage>
    </cacheHierarchy>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7708332" backgroundQuery="1" createdVersion="8" refreshedVersion="8" minRefreshableVersion="3" recordCount="0" supportSubquery="1" supportAdvancedDrill="1" xr:uid="{AB5287B7-F748-469D-B3A1-37F44B3115B9}">
  <cacheSource type="external" connectionId="9"/>
  <cacheFields count="3">
    <cacheField name="[Measures].[tsales]" caption="tsales" numFmtId="0" hierarchy="39" level="32767"/>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2"/>
      </fieldsUsage>
    </cacheHierarchy>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oneField="1">
      <fieldsUsage count="1">
        <fieldUsage x="0"/>
      </fieldsUsage>
    </cacheHierarchy>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7824078" backgroundQuery="1" createdVersion="8" refreshedVersion="8" minRefreshableVersion="3" recordCount="0" supportSubquery="1" supportAdvancedDrill="1" xr:uid="{5C504AF7-F672-4937-B000-82B737DCEA2A}">
  <cacheSource type="external" connectionId="9"/>
  <cacheFields count="3">
    <cacheField name="[Measures].[tprofit]" caption="tprofit" numFmtId="0" hierarchy="44" level="32767"/>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1"/>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2"/>
      </fieldsUsage>
    </cacheHierarchy>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oneField="1">
      <fieldsUsage count="1">
        <fieldUsage x="0"/>
      </fieldsUsage>
    </cacheHierarchy>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44.88046828704" backgroundQuery="1" createdVersion="8" refreshedVersion="8" minRefreshableVersion="3" recordCount="0" supportSubquery="1" supportAdvancedDrill="1" xr:uid="{887238A1-F9E2-4B9D-9547-962C54524FC3}">
  <cacheSource type="external" connectionId="9"/>
  <cacheFields count="4">
    <cacheField name="[Products].[Sub-Category].[Sub-Category]" caption="Sub-Category" numFmtId="0" hierarchy="18" level="1">
      <sharedItems count="10">
        <s v="Accessories"/>
        <s v="Binders"/>
        <s v="Bookcases"/>
        <s v="Chairs"/>
        <s v="Furnishings"/>
        <s v="Machines"/>
        <s v="Paper"/>
        <s v="Phones"/>
        <s v="Storage"/>
        <s v="Tables"/>
      </sharedItems>
    </cacheField>
    <cacheField name="[Measures].[Sum of Profit]" caption="Sum of Profit" numFmtId="0" hierarchy="38" level="32767"/>
    <cacheField name="[Calendar].[Date].[Date]" caption="Date" numFmtId="0" level="1">
      <sharedItems containsSemiMixedTypes="0" containsNonDate="0" containsString="0"/>
    </cacheField>
    <cacheField name="[Dim Cutomer Data].[State].[State]" caption="State" numFmtId="0" hierarchy="13"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fieldsUsage count="2">
        <fieldUsage x="-1"/>
        <fieldUsage x="3"/>
      </fieldsUsage>
    </cacheHierarchy>
    <cacheHierarchy uniqueName="[Dim Cutomer Data].[Postal Code]" caption="Postal Code" attribute="1" defaultMemberUniqueName="[Dim Cutomer Data].[Postal Code].[All]" allUniqueName="[Dim Cutomer Data].[Postal Code].[All]" dimensionUniqueName="[Dim Cutomer Data]" displayFolder="" count="2" memberValueDatatype="2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20" unbalanced="0"/>
    <cacheHierarchy uniqueName="[Products].[Product Category]" caption="Product Category" attribute="1" defaultMemberUniqueName="[Products].[Product Category].[All]" allUniqueName="[Products].[Product 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Sales Orders].[cost2]" caption="cost2" attribute="1" defaultMemberUniqueName="[Sales Orders].[cost2].[All]" allUniqueName="[Sales Orders].[cost2].[All]" dimensionUniqueName="[Sales Orders]" displayFolder="" count="2"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2" memberValueDatatype="130" unbalanced="0"/>
    <cacheHierarchy uniqueName="[Sales Orders].[Add Column2]" caption="Add Column2" attribute="1" defaultMemberUniqueName="[Sales Orders].[Add Column2].[All]" allUniqueName="[Sales Orders].[Add Column2].[All]" dimensionUniqueName="[Sales Orders]" displayFolder="" count="2"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oneField="1">
      <fieldsUsage count="1">
        <fieldUsage x="1"/>
      </fieldsUsage>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37.688172222224" backgroundQuery="1" createdVersion="3" refreshedVersion="8" minRefreshableVersion="3" recordCount="0" supportSubquery="1" supportAdvancedDrill="1" xr:uid="{164D539F-2782-40C8-9F29-E76F9E36BEC6}">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2"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290747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MOHEMED" refreshedDate="46137.691128009261" backgroundQuery="1" createdVersion="3" refreshedVersion="8" minRefreshableVersion="3" recordCount="0" supportSubquery="1" supportAdvancedDrill="1" xr:uid="{63566E9C-BE78-4CB0-9523-2527BD3D9FE9}">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2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2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ap Date]" caption="Shap Date" attribute="1" time="1" defaultMemberUniqueName="[Sales Orders].[Shap Date].[All]" allUniqueName="[Sales Orders].[Shap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Sales Orders].[cost2]" caption="cost2" attribute="1" defaultMemberUniqueName="[Sales Orders].[cost2].[All]" allUniqueName="[Sales Orders].[cost2].[All]" dimensionUniqueName="[Sales Orders]" displayFolder="" count="0" memberValueDatatype="5" unbalanced="0"/>
    <cacheHierarchy uniqueName="[Sales Orders].[category]" caption="category" attribute="1" defaultMemberUniqueName="[Sales Orders].[category].[All]" allUniqueName="[Sales Orders].[category].[All]" dimensionUniqueName="[Sales Orders]" displayFolder="" count="0" memberValueDatatype="130" unbalanced="0"/>
    <cacheHierarchy uniqueName="[Sales Orders].[Calculated Column 1]" caption="Calculated Column 1" attribute="1" defaultMemberUniqueName="[Sales Orders].[Calculated Column 1].[All]" allUniqueName="[Sales Orders].[Calculated Column 1].[All]" dimensionUniqueName="[Sales Orders]" displayFolder="" count="0" memberValueDatatype="130" unbalanced="0"/>
    <cacheHierarchy uniqueName="[Sales Orders].[Add Column2]" caption="Add Column2" attribute="1" defaultMemberUniqueName="[Sales Orders].[Add Column2].[All]" allUniqueName="[Sales Orders].[Add Column2].[All]" dimensionUniqueName="[Sales Orders]" displayFolder="" count="0" memberValueDatatype="20" unbalanced="0"/>
    <cacheHierarchy uniqueName="[Measures].[Sum of Total Sales]" caption="Sum of Total Sales" measure="1" displayFolder="" measureGroup="Sales Orders" count="0">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Orders" count="0">
      <extLst>
        <ext xmlns:x15="http://schemas.microsoft.com/office/spreadsheetml/2010/11/main" uri="{B97F6D7D-B522-45F9-BDA1-12C45D357490}">
          <x15:cacheHierarchy aggregatedColumn="32"/>
        </ext>
      </extLst>
    </cacheHierarchy>
    <cacheHierarchy uniqueName="[Measures].[tsales]" caption="tsales" measure="1" displayFolder="" measureGroup="Sales Orders" count="0"/>
    <cacheHierarchy uniqueName="[Measures].[tcost]" caption="tcost" measure="1" displayFolder="" measureGroup="Sales Orders" count="0"/>
    <cacheHierarchy uniqueName="[Measures].[tsales 2014]" caption="tsales 2014" measure="1" displayFolder="" measureGroup="Sales Orders" count="0"/>
    <cacheHierarchy uniqueName="[Measures].[tcost 2014]" caption="tcost 2014" measure="1" displayFolder="" measureGroup="Sales Orders" count="0"/>
    <cacheHierarchy uniqueName="[Measures].[tsales 2014 cat]" caption="tsales 2014 cat" measure="1" displayFolder="" measureGroup="Sales Orders" count="0"/>
    <cacheHierarchy uniqueName="[Measures].[tprofit]" caption="tprofit" measure="1" displayFolder="" measureGroup="Sales Orders" count="0"/>
    <cacheHierarchy uniqueName="[Measures].[__XL_Count Sales Orders]" caption="__XL_Count Sales Orders" measure="1" displayFolder="" measureGroup="Sales Orders" count="0" hidden="1"/>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568818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BFFE7-F2A6-4800-ADA8-9D9334F6AD15}" name="PivotTable1" cacheId="86" applyNumberFormats="0" applyBorderFormats="0" applyFontFormats="0" applyPatternFormats="0" applyAlignmentFormats="0" applyWidthHeightFormats="1" dataCaption="Values" tag="86dcc2ed-e293-4c35-8bff-d5ee36320b06" updatedVersion="8" minRefreshableVersion="5" useAutoFormatting="1" subtotalHiddenItems="1" itemPrintTitles="1" createdVersion="8" indent="0" outline="1" outlineData="1" multipleFieldFilters="0" chartFormat="13">
  <location ref="A2:B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numFmtId="3"/>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6"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BC192A-C180-43D2-85B7-38AA8C44D844}" name="PivotTable7" cacheId="92" applyNumberFormats="0" applyBorderFormats="0" applyFontFormats="0" applyPatternFormats="0" applyAlignmentFormats="0" applyWidthHeightFormats="1" dataCaption="Values" tag="fb420080-5497-4345-b174-f96f63540145" updatedVersion="8" minRefreshableVersion="5" useAutoFormatting="1" subtotalHiddenItems="1" itemPrintTitles="1" createdVersion="8" indent="0" outline="1" outlineData="1" multipleFieldFilters="0">
  <location ref="O6:O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6"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E4DBD1-F336-4A15-8D6B-42DB55E4E2BE}" name="PivotTable4" cacheId="98" applyNumberFormats="0" applyBorderFormats="0" applyFontFormats="0" applyPatternFormats="0" applyAlignmentFormats="0" applyWidthHeightFormats="1" dataCaption="Values" tag="1679f6c5-5cee-4752-91a4-b99975bcd8b0" updatedVersion="8" minRefreshableVersion="5" useAutoFormatting="1" subtotalHiddenItems="1" itemPrintTitles="1" createdVersion="8" indent="0" outline="1" outlineData="1" multipleFieldFilters="0" chartFormat="7">
  <location ref="J2:K13"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5"/>
    </i>
    <i>
      <x v="9"/>
    </i>
    <i>
      <x v="7"/>
    </i>
    <i>
      <x v="1"/>
    </i>
    <i>
      <x v="3"/>
    </i>
    <i>
      <x v="8"/>
    </i>
    <i>
      <x v="2"/>
    </i>
    <i>
      <x v="4"/>
    </i>
    <i>
      <x v="6"/>
    </i>
    <i t="grand">
      <x/>
    </i>
  </rowItems>
  <colItems count="1">
    <i/>
  </colItems>
  <dataFields count="1">
    <dataField name="Sum of Profit" fld="1"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7"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 fld="0" type="count" id="1" iMeasureHier="38">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D9B61-5E9D-4254-B433-194D13905CC0}" name="PivotTable5" cacheId="89" applyNumberFormats="0" applyBorderFormats="0" applyFontFormats="0" applyPatternFormats="0" applyAlignmentFormats="0" applyWidthHeightFormats="1" dataCaption="Values" tag="9c3dfe7f-8b62-48f0-9be3-d9bd7e21f4f3" updatedVersion="8" minRefreshableVersion="5" useAutoFormatting="1" subtotalHiddenItems="1" itemPrintTitles="1" createdVersion="8" indent="0" outline="1" outlineData="1" multipleFieldFilters="0">
  <location ref="V6:V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6"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6E825D-4B54-4DBB-BA76-A3A5E7B0DF3F}" name="PivotTable8" cacheId="95" applyNumberFormats="0" applyBorderFormats="0" applyFontFormats="0" applyPatternFormats="0" applyAlignmentFormats="0" applyWidthHeightFormats="1" dataCaption="Values" tag="aca54fe7-8b34-4b27-a3cd-1450b332d6aa" updatedVersion="8" minRefreshableVersion="5" useAutoFormatting="1" subtotalHiddenItems="1" itemPrintTitles="1" createdVersion="8" indent="0" outline="1" outlineData="1" multipleFieldFilters="0">
  <location ref="R6:R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6"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4F833A-C975-4582-BE55-3504A43589A8}" name="PivotTable3" cacheId="3" applyNumberFormats="0" applyBorderFormats="0" applyFontFormats="0" applyPatternFormats="0" applyAlignmentFormats="0" applyWidthHeightFormats="1" dataCaption="Values" tag="c97b7a2e-6953-4322-b49f-357b8788adee" updatedVersion="8" minRefreshableVersion="5" useAutoFormatting="1" itemPrintTitles="1" createdVersion="8" indent="0" outline="1" outlineData="1" multipleFieldFilters="0" chartFormat="9">
  <location ref="E2:F1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4"/>
    </i>
    <i>
      <x v="5"/>
    </i>
    <i>
      <x v="7"/>
    </i>
    <i>
      <x v="6"/>
    </i>
    <i>
      <x v="9"/>
    </i>
    <i>
      <x v="1"/>
    </i>
    <i>
      <x v="3"/>
    </i>
    <i>
      <x v="2"/>
    </i>
    <i t="grand">
      <x/>
    </i>
  </rowItems>
  <colItems count="1">
    <i/>
  </colItems>
  <dataFields count="1">
    <dataField name="Sum of Profit" fld="1" baseField="0" baseItem="0"/>
  </dataFields>
  <chartFormats count="4">
    <chartFormat chart="8"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0"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 fld="0" type="count" id="4" iMeasureHier="38">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tomer Data]"/>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2F653C-2BE5-441A-B4AC-D3E5478586E6}" name="PivotTable2" cacheId="83" applyNumberFormats="0" applyBorderFormats="0" applyFontFormats="0" applyPatternFormats="0" applyAlignmentFormats="0" applyWidthHeightFormats="1" dataCaption="Values" tag="d2140ff5-74a6-4d35-b186-a2d8103b5c4e" updatedVersion="8" minRefreshableVersion="5" useAutoFormatting="1" subtotalHiddenItems="1" itemPrintTitles="1" createdVersion="8" indent="0" outline="1" outlineData="1" multipleFieldFilters="0" chartFormat="9">
  <location ref="A13:B18" firstHeaderRow="1"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8" name="[Calendar].[Quarter].[All]" cap="All"/>
  </pageFields>
  <dataFields count="1">
    <dataField name="Sum of Total Sales" fld="1" baseField="0"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2"/>
          </reference>
        </references>
      </pivotArea>
    </chartFormat>
    <chartFormat chart="8" format="14">
      <pivotArea type="data" outline="0" fieldPosition="0">
        <references count="2">
          <reference field="4294967294" count="1" selected="0">
            <x v="0"/>
          </reference>
          <reference field="0" count="1" selected="0">
            <x v="3"/>
          </reference>
        </references>
      </pivotArea>
    </chartFormat>
  </chartFormats>
  <pivotHierarchies count="5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0" name="[Calendar].[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tomer Data]"/>
        <x15:activeTabTopLevelEntity name="[Sales 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86698C-4C52-4D44-B46E-DC5D544F8019}" sourceName="[Sales Orders].[category]">
  <pivotTables>
    <pivotTable tabId="1" name="PivotTable2"/>
    <pivotTable tabId="1" name="PivotTable1"/>
    <pivotTable tabId="1" name="PivotTable3"/>
    <pivotTable tabId="1" name="PivotTable4"/>
    <pivotTable tabId="1" name="PivotTable5"/>
    <pivotTable tabId="1" name="PivotTable7"/>
    <pivotTable tabId="1" name="PivotTable8"/>
  </pivotTables>
  <data>
    <olap pivotCacheId="622907476">
      <levels count="2">
        <level uniqueName="[Sales Orders].[category].[(All)]" sourceCaption="(All)" count="0"/>
        <level uniqueName="[Sales Orders].[category].[category]" sourceCaption="category" count="3">
          <ranges>
            <range startItem="0">
              <i n="[Sales Orders].[category].&amp;[Furniture]" c="Furniture"/>
              <i n="[Sales Orders].[category].&amp;[Office Supplies]" c="Office Supplies"/>
              <i n="[Sales Orders].[category].&amp;[Technology]" c="Technology"/>
            </range>
          </ranges>
        </level>
      </levels>
      <selections count="1">
        <selection n="[Sales 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5C76495-38BE-4410-915E-239BD7766FB2}" sourceName="[Dim Cutomer Data].[State]">
  <pivotTables>
    <pivotTable tabId="1" name="PivotTable2"/>
    <pivotTable tabId="1" name="PivotTable1"/>
    <pivotTable tabId="1" name="PivotTable5"/>
    <pivotTable tabId="1" name="PivotTable7"/>
    <pivotTable tabId="1" name="PivotTable8"/>
    <pivotTable tabId="1" name="PivotTable4"/>
  </pivotTables>
  <data>
    <olap pivotCacheId="622907476">
      <levels count="2">
        <level uniqueName="[Dim Cutomer Data].[State].[(All)]" sourceCaption="(All)" count="0"/>
        <level uniqueName="[Dim Cutomer Data].[State].[State]" sourceCaption="State" count="36">
          <ranges>
            <range startItem="0">
              <i n="[Dim Cutomer Data].[State].&amp;[Alabama]" c="Alabama"/>
              <i n="[Dim Cutomer Data].[State].&amp;[Arizona]" c="Arizona"/>
              <i n="[Dim Cutomer Data].[State].&amp;[Arkansas]" c="Arkansas"/>
              <i n="[Dim Cutomer Data].[State].&amp;[California]" c="California"/>
              <i n="[Dim Cutomer Data].[State].&amp;[Colorado]" c="Colorado"/>
              <i n="[Dim Cutomer Data].[State].&amp;[Connecticut]" c="Connecticut"/>
              <i n="[Dim Cutomer Data].[State].&amp;[Delaware]" c="Delaware"/>
              <i n="[Dim Cutomer Data].[State].&amp;[Florida]" c="Florida"/>
              <i n="[Dim Cutomer Data].[State].&amp;[Georgia]" c="Georgia"/>
              <i n="[Dim Cutomer Data].[State].&amp;[Illinois]" c="Illinois"/>
              <i n="[Dim Cutomer Data].[State].&amp;[Indiana]" c="Indiana"/>
              <i n="[Dim Cutomer Data].[State].&amp;[Iowa]" c="Iowa"/>
              <i n="[Dim Cutomer Data].[State].&amp;[Kentucky]" c="Kentucky"/>
              <i n="[Dim Cutomer Data].[State].&amp;[Louisiana]" c="Louisiana"/>
              <i n="[Dim Cutomer Data].[State].&amp;[Maryland]" c="Maryland"/>
              <i n="[Dim Cutomer Data].[State].&amp;[Massachusetts]" c="Massachusetts"/>
              <i n="[Dim Cutomer Data].[State].&amp;[Michigan]" c="Michigan"/>
              <i n="[Dim Cutomer Data].[State].&amp;[Minnesota]" c="Minnesota"/>
              <i n="[Dim Cutomer Data].[State].&amp;[Mississippi]" c="Mississippi"/>
              <i n="[Dim Cutomer Data].[State].&amp;[Missouri]" c="Missouri"/>
              <i n="[Dim Cutomer Data].[State].&amp;[Nevada]" c="Nevada"/>
              <i n="[Dim Cutomer Data].[State].&amp;[New Jersey]" c="New Jersey"/>
              <i n="[Dim Cutomer Data].[State].&amp;[New Mexico]" c="New Mexico"/>
              <i n="[Dim Cutomer Data].[State].&amp;[New York]" c="New York"/>
              <i n="[Dim Cutomer Data].[State].&amp;[North Carolina]" c="North Carolina"/>
              <i n="[Dim Cutomer Data].[State].&amp;[Ohio]" c="Ohio"/>
              <i n="[Dim Cutomer Data].[State].&amp;[Oklahoma]" c="Oklahoma"/>
              <i n="[Dim Cutomer Data].[State].&amp;[Oregon]" c="Oregon"/>
              <i n="[Dim Cutomer Data].[State].&amp;[Pennsylvania]" c="Pennsylvania"/>
              <i n="[Dim Cutomer Data].[State].&amp;[Rhode Island]" c="Rhode Island"/>
              <i n="[Dim Cutomer Data].[State].&amp;[Tennessee]" c="Tennessee"/>
              <i n="[Dim Cutomer Data].[State].&amp;[Texas]" c="Texas"/>
              <i n="[Dim Cutomer Data].[State].&amp;[Utah]" c="Utah"/>
              <i n="[Dim Cutomer Data].[State].&amp;[Virginia]" c="Virginia"/>
              <i n="[Dim Cutomer Data].[State].&amp;[Washington]" c="Washington"/>
              <i n="[Dim Cutomer Data].[State].&amp;[Wisconsin]" c="Wisconsin"/>
            </range>
          </ranges>
        </level>
      </levels>
      <selections count="1">
        <selection n="[Dim Cutomer 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E4BEE82-0655-490F-AEE2-96F4A7727EE7}" cache="Slicer_category" caption="category" level="1" style="SlicerStyleDark3" rowHeight="251883"/>
  <slicer name="State" xr10:uid="{E9548E4D-DE37-4788-9792-ADF47F8E67A5}" cache="Slicer_State" caption="State" level="1" style="SlicerStyleDark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ap_Date" xr10:uid="{EC2F8DFC-E78F-47CC-9F1A-807CFC1AC807}" sourceName="[Sales Orders].[Shap Date]">
  <pivotTables>
    <pivotTable tabId="1" name="PivotTable4"/>
    <pivotTable tabId="1" name="PivotTable1"/>
    <pivotTable tabId="1" name="PivotTable2"/>
    <pivotTable tabId="1" name="PivotTable3"/>
    <pivotTable tabId="1" name="PivotTable5"/>
    <pivotTable tabId="1" name="PivotTable7"/>
    <pivotTable tabId="1" name="PivotTable8"/>
  </pivotTables>
  <state minimalRefreshVersion="6" lastRefreshVersion="6" pivotCacheId="856881861"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ap Date" xr10:uid="{C6D0E8C9-CCEF-4A04-A822-E2D9A9357DC3}" cache="Timeline_Shap_Date" caption="Shap Date" level="2" selectionLevel="2" scrollPosition="2014-01-01T00:00:00" style="TimeSlicerStyleDark3"/>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0EB5-645C-402F-8104-3859F5C3030D}">
  <dimension ref="A2:V18"/>
  <sheetViews>
    <sheetView topLeftCell="I1" workbookViewId="0">
      <selection activeCell="P8" sqref="P8"/>
    </sheetView>
  </sheetViews>
  <sheetFormatPr defaultRowHeight="14.5" x14ac:dyDescent="0.35"/>
  <cols>
    <col min="1" max="1" width="13" bestFit="1" customWidth="1"/>
    <col min="2" max="2" width="16.08984375" bestFit="1" customWidth="1"/>
    <col min="3" max="4" width="11.81640625" bestFit="1" customWidth="1"/>
    <col min="5" max="5" width="12.54296875" bestFit="1" customWidth="1"/>
    <col min="6" max="6" width="11.81640625" bestFit="1" customWidth="1"/>
    <col min="7" max="7" width="10.36328125" bestFit="1" customWidth="1"/>
    <col min="10" max="10" width="12.453125" bestFit="1" customWidth="1"/>
    <col min="11" max="11" width="11.54296875" bestFit="1" customWidth="1"/>
    <col min="15" max="15" width="8.90625" bestFit="1" customWidth="1"/>
    <col min="18" max="18" width="7.36328125" bestFit="1" customWidth="1"/>
    <col min="22" max="22" width="7.36328125" bestFit="1" customWidth="1"/>
  </cols>
  <sheetData>
    <row r="2" spans="1:22" x14ac:dyDescent="0.35">
      <c r="A2" s="1" t="s">
        <v>0</v>
      </c>
      <c r="B2" t="s">
        <v>5</v>
      </c>
      <c r="E2" s="1" t="s">
        <v>0</v>
      </c>
      <c r="F2" t="s">
        <v>20</v>
      </c>
      <c r="J2" s="1" t="s">
        <v>0</v>
      </c>
      <c r="K2" t="s">
        <v>20</v>
      </c>
    </row>
    <row r="3" spans="1:22" x14ac:dyDescent="0.35">
      <c r="A3" s="2" t="s">
        <v>1</v>
      </c>
      <c r="B3" s="3">
        <v>334615.00405599974</v>
      </c>
      <c r="E3" s="2" t="s">
        <v>10</v>
      </c>
      <c r="F3">
        <v>65001.630080000003</v>
      </c>
      <c r="J3" s="2" t="s">
        <v>21</v>
      </c>
      <c r="K3" s="3">
        <v>56987.994469999976</v>
      </c>
    </row>
    <row r="4" spans="1:22" x14ac:dyDescent="0.35">
      <c r="A4" s="2" t="s">
        <v>2</v>
      </c>
      <c r="B4" s="3">
        <v>313117.26665999996</v>
      </c>
      <c r="E4" s="2" t="s">
        <v>18</v>
      </c>
      <c r="F4">
        <v>45609.276315999981</v>
      </c>
      <c r="J4" s="2" t="s">
        <v>26</v>
      </c>
      <c r="K4" s="3">
        <v>49224.879300000001</v>
      </c>
    </row>
    <row r="5" spans="1:22" x14ac:dyDescent="0.35">
      <c r="A5" s="2" t="s">
        <v>3</v>
      </c>
      <c r="B5" s="3">
        <v>444975.11039000005</v>
      </c>
      <c r="E5" s="2" t="s">
        <v>14</v>
      </c>
      <c r="F5">
        <v>41749.022379999988</v>
      </c>
      <c r="J5" s="2" t="s">
        <v>30</v>
      </c>
      <c r="K5" s="3">
        <v>47139.204740000001</v>
      </c>
    </row>
    <row r="6" spans="1:22" x14ac:dyDescent="0.35">
      <c r="A6" s="2" t="s">
        <v>4</v>
      </c>
      <c r="B6" s="3">
        <v>1092707.3811059999</v>
      </c>
      <c r="E6" s="2" t="s">
        <v>15</v>
      </c>
      <c r="F6">
        <v>29179.038879999996</v>
      </c>
      <c r="J6" s="2" t="s">
        <v>28</v>
      </c>
      <c r="K6" s="3">
        <v>43727.072879999992</v>
      </c>
      <c r="O6" t="s">
        <v>31</v>
      </c>
      <c r="R6" t="s">
        <v>32</v>
      </c>
      <c r="V6" t="s">
        <v>33</v>
      </c>
    </row>
    <row r="7" spans="1:22" x14ac:dyDescent="0.35">
      <c r="E7" s="2" t="s">
        <v>17</v>
      </c>
      <c r="F7">
        <v>21213.299880000002</v>
      </c>
      <c r="J7" s="2" t="s">
        <v>22</v>
      </c>
      <c r="K7" s="3">
        <v>40403.952170000011</v>
      </c>
      <c r="O7" s="3">
        <v>1092707.3811059999</v>
      </c>
      <c r="R7" s="3">
        <v>389242.35959599982</v>
      </c>
      <c r="V7" s="3">
        <v>703465.02151000057</v>
      </c>
    </row>
    <row r="8" spans="1:22" x14ac:dyDescent="0.35">
      <c r="E8" s="2" t="s">
        <v>16</v>
      </c>
      <c r="F8">
        <v>19241.0262</v>
      </c>
      <c r="J8" s="2" t="s">
        <v>24</v>
      </c>
      <c r="K8" s="3">
        <v>36096.710840000007</v>
      </c>
      <c r="O8" s="5">
        <f>GETPIVOTDATA("[Measures].[tsales]",$O$6)</f>
        <v>1092707.3811059999</v>
      </c>
      <c r="R8" s="5">
        <f>GETPIVOTDATA("[Measures].[tprofit]",$R$6)</f>
        <v>389242.35959599982</v>
      </c>
      <c r="V8" s="5">
        <f>GETPIVOTDATA("[Measures].[tcost]",$V$6)</f>
        <v>703465.02151000057</v>
      </c>
    </row>
    <row r="9" spans="1:22" x14ac:dyDescent="0.35">
      <c r="E9" s="2" t="s">
        <v>19</v>
      </c>
      <c r="F9">
        <v>17580.889339999998</v>
      </c>
      <c r="J9" s="2" t="s">
        <v>29</v>
      </c>
      <c r="K9" s="3">
        <v>31732.910519999998</v>
      </c>
    </row>
    <row r="10" spans="1:22" x14ac:dyDescent="0.35">
      <c r="E10" s="2" t="s">
        <v>11</v>
      </c>
      <c r="F10">
        <v>17322.050935000003</v>
      </c>
      <c r="J10" s="2" t="s">
        <v>23</v>
      </c>
      <c r="K10" s="3">
        <v>17914.169895999999</v>
      </c>
    </row>
    <row r="11" spans="1:22" x14ac:dyDescent="0.35">
      <c r="A11" s="1" t="s">
        <v>34</v>
      </c>
      <c r="B11" t="s" vm="1">
        <v>35</v>
      </c>
      <c r="E11" s="2" t="s">
        <v>13</v>
      </c>
      <c r="F11">
        <v>17201.911280000008</v>
      </c>
      <c r="J11" s="2" t="s">
        <v>25</v>
      </c>
      <c r="K11" s="3">
        <v>14107.057820000002</v>
      </c>
    </row>
    <row r="12" spans="1:22" x14ac:dyDescent="0.35">
      <c r="E12" s="2" t="s">
        <v>12</v>
      </c>
      <c r="F12">
        <v>16439.37356</v>
      </c>
      <c r="J12" s="2" t="s">
        <v>27</v>
      </c>
      <c r="K12" s="3">
        <v>11845.178420000007</v>
      </c>
    </row>
    <row r="13" spans="1:22" x14ac:dyDescent="0.35">
      <c r="A13" s="1" t="s">
        <v>0</v>
      </c>
      <c r="B13" t="s">
        <v>5</v>
      </c>
      <c r="E13" s="2" t="s">
        <v>4</v>
      </c>
      <c r="F13">
        <v>290537.51885100006</v>
      </c>
      <c r="J13" s="2" t="s">
        <v>4</v>
      </c>
      <c r="K13" s="3">
        <v>349179.13105600007</v>
      </c>
    </row>
    <row r="14" spans="1:22" x14ac:dyDescent="0.35">
      <c r="A14" s="2" t="s">
        <v>6</v>
      </c>
      <c r="B14" s="3">
        <v>336852.15473099996</v>
      </c>
    </row>
    <row r="15" spans="1:22" x14ac:dyDescent="0.35">
      <c r="A15" s="2" t="s">
        <v>7</v>
      </c>
      <c r="B15" s="3">
        <v>259544.98843000008</v>
      </c>
    </row>
    <row r="16" spans="1:22" x14ac:dyDescent="0.35">
      <c r="A16" s="2" t="s">
        <v>8</v>
      </c>
      <c r="B16" s="3">
        <v>211927.26518500008</v>
      </c>
    </row>
    <row r="17" spans="1:2" x14ac:dyDescent="0.35">
      <c r="A17" s="2" t="s">
        <v>9</v>
      </c>
      <c r="B17" s="3">
        <v>284382.97275999998</v>
      </c>
    </row>
    <row r="18" spans="1:2" x14ac:dyDescent="0.35">
      <c r="A18" s="2" t="s">
        <v>4</v>
      </c>
      <c r="B18" s="3">
        <v>1092707.3811059999</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0AB6-CE60-4436-8BBC-75C80669575B}">
  <dimension ref="A1"/>
  <sheetViews>
    <sheetView showGridLines="0" showRowColHeaders="0" tabSelected="1" zoomScale="88" workbookViewId="0">
      <selection activeCell="S5" sqref="S5"/>
      <extLst>
        <ext xmlns:xlsdti="http://schemas.microsoft.com/office/spreadsheetml/2023/showDataTypeIcons" uri="{77bfe23e-c014-4d31-8a63-9c772dbf06b6}">
          <xlsdti:showDataTypeIcons visible="0"/>
        </ext>
      </extLst>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5808C03-1E74-4B8E-B76E-395F6A240FDB}">
  <ds:schemaRefs/>
</ds:datastoreItem>
</file>

<file path=customXml/itemProps2.xml><?xml version="1.0" encoding="utf-8"?>
<ds:datastoreItem xmlns:ds="http://schemas.openxmlformats.org/officeDocument/2006/customXml" ds:itemID="{77DFF3C0-2301-4021-BD6D-A8F8224E7E32}">
  <ds:schemaRefs/>
</ds:datastoreItem>
</file>

<file path=customXml/itemProps3.xml><?xml version="1.0" encoding="utf-8"?>
<ds:datastoreItem xmlns:ds="http://schemas.openxmlformats.org/officeDocument/2006/customXml" ds:itemID="{8BA8B15E-A197-4B28-87DE-09C95BC2A6C8}">
  <ds:schemaRefs/>
</ds:datastoreItem>
</file>

<file path=customXml/itemProps4.xml><?xml version="1.0" encoding="utf-8"?>
<ds:datastoreItem xmlns:ds="http://schemas.openxmlformats.org/officeDocument/2006/customXml" ds:itemID="{412A9A64-0CBC-41AA-8270-71E0B804E736}">
  <ds:schemaRefs/>
</ds:datastoreItem>
</file>

<file path=customXml/itemProps5.xml><?xml version="1.0" encoding="utf-8"?>
<ds:datastoreItem xmlns:ds="http://schemas.openxmlformats.org/officeDocument/2006/customXml" ds:itemID="{EE48EF63-633E-4379-A6FA-608907AFBCD8}">
  <ds:schemaRefs/>
</ds:datastoreItem>
</file>

<file path=customXml/itemProps6.xml><?xml version="1.0" encoding="utf-8"?>
<ds:datastoreItem xmlns:ds="http://schemas.openxmlformats.org/officeDocument/2006/customXml" ds:itemID="{5BA84FB3-37E9-41B8-B8EB-53E326BDDEBF}">
  <ds:schemaRefs/>
</ds:datastoreItem>
</file>

<file path=customXml/itemProps7.xml><?xml version="1.0" encoding="utf-8"?>
<ds:datastoreItem xmlns:ds="http://schemas.openxmlformats.org/officeDocument/2006/customXml" ds:itemID="{EF5A33A6-2EFA-4746-876C-E39B19BDA6E7}">
  <ds:schemaRefs/>
</ds:datastoreItem>
</file>

<file path=customXml/itemProps8.xml><?xml version="1.0" encoding="utf-8"?>
<ds:datastoreItem xmlns:ds="http://schemas.openxmlformats.org/officeDocument/2006/customXml" ds:itemID="{9E2BFBE9-CECC-4D80-A07D-0872C34B5C34}">
  <ds:schemaRefs/>
</ds:datastoreItem>
</file>

<file path=customXml/itemProps9.xml><?xml version="1.0" encoding="utf-8"?>
<ds:datastoreItem xmlns:ds="http://schemas.openxmlformats.org/officeDocument/2006/customXml" ds:itemID="{003A1B46-4740-429C-87E9-6B3EB8FC4B05}">
  <ds:schemaRefs/>
</ds:datastoreItem>
</file>

<file path=customXml/itemProps10.xml><?xml version="1.0" encoding="utf-8"?>
<ds:datastoreItem xmlns:ds="http://schemas.openxmlformats.org/officeDocument/2006/customXml" ds:itemID="{03F06456-B45A-49B1-BBDD-7EC9551F522C}">
  <ds:schemaRefs/>
</ds:datastoreItem>
</file>

<file path=customXml/itemProps11.xml><?xml version="1.0" encoding="utf-8"?>
<ds:datastoreItem xmlns:ds="http://schemas.openxmlformats.org/officeDocument/2006/customXml" ds:itemID="{5CCA99B7-55B2-4EE2-A47B-BFD1F66775AB}">
  <ds:schemaRefs/>
</ds:datastoreItem>
</file>

<file path=customXml/itemProps12.xml><?xml version="1.0" encoding="utf-8"?>
<ds:datastoreItem xmlns:ds="http://schemas.openxmlformats.org/officeDocument/2006/customXml" ds:itemID="{6BC3A160-2625-4544-8954-F16FEA16F079}">
  <ds:schemaRefs/>
</ds:datastoreItem>
</file>

<file path=customXml/itemProps13.xml><?xml version="1.0" encoding="utf-8"?>
<ds:datastoreItem xmlns:ds="http://schemas.openxmlformats.org/officeDocument/2006/customXml" ds:itemID="{0892DEA9-5D63-49B6-9F61-2CACFC16DE9D}">
  <ds:schemaRefs/>
</ds:datastoreItem>
</file>

<file path=customXml/itemProps14.xml><?xml version="1.0" encoding="utf-8"?>
<ds:datastoreItem xmlns:ds="http://schemas.openxmlformats.org/officeDocument/2006/customXml" ds:itemID="{22DD84D5-5643-425F-AB05-817A2388A97A}">
  <ds:schemaRefs/>
</ds:datastoreItem>
</file>

<file path=customXml/itemProps15.xml><?xml version="1.0" encoding="utf-8"?>
<ds:datastoreItem xmlns:ds="http://schemas.openxmlformats.org/officeDocument/2006/customXml" ds:itemID="{7A35CBF3-1C8E-42AA-89B3-868AD45ADE89}">
  <ds:schemaRefs/>
</ds:datastoreItem>
</file>

<file path=customXml/itemProps16.xml><?xml version="1.0" encoding="utf-8"?>
<ds:datastoreItem xmlns:ds="http://schemas.openxmlformats.org/officeDocument/2006/customXml" ds:itemID="{3DDD3A79-B822-4B1E-89EB-47F1C4625191}">
  <ds:schemaRefs/>
</ds:datastoreItem>
</file>

<file path=customXml/itemProps17.xml><?xml version="1.0" encoding="utf-8"?>
<ds:datastoreItem xmlns:ds="http://schemas.openxmlformats.org/officeDocument/2006/customXml" ds:itemID="{653DE946-166F-4618-BB31-B1AD458BF13B}">
  <ds:schemaRefs/>
</ds:datastoreItem>
</file>

<file path=customXml/itemProps18.xml><?xml version="1.0" encoding="utf-8"?>
<ds:datastoreItem xmlns:ds="http://schemas.openxmlformats.org/officeDocument/2006/customXml" ds:itemID="{06521103-A4E8-4263-AD11-A5C7B589C1DF}">
  <ds:schemaRefs>
    <ds:schemaRef ds:uri="http://schemas.microsoft.com/DataMashup"/>
  </ds:schemaRefs>
</ds:datastoreItem>
</file>

<file path=customXml/itemProps19.xml><?xml version="1.0" encoding="utf-8"?>
<ds:datastoreItem xmlns:ds="http://schemas.openxmlformats.org/officeDocument/2006/customXml" ds:itemID="{9CC84225-3D68-44EF-8FB4-92324339997D}">
  <ds:schemaRefs/>
</ds:datastoreItem>
</file>

<file path=customXml/itemProps20.xml><?xml version="1.0" encoding="utf-8"?>
<ds:datastoreItem xmlns:ds="http://schemas.openxmlformats.org/officeDocument/2006/customXml" ds:itemID="{1761EA92-9310-428D-94D0-E16BD6C13066}">
  <ds:schemaRefs/>
</ds:datastoreItem>
</file>

<file path=customXml/itemProps21.xml><?xml version="1.0" encoding="utf-8"?>
<ds:datastoreItem xmlns:ds="http://schemas.openxmlformats.org/officeDocument/2006/customXml" ds:itemID="{02140FC6-C152-4C17-AFA5-3AE1E994A043}">
  <ds:schemaRefs/>
</ds:datastoreItem>
</file>

<file path=customXml/itemProps22.xml><?xml version="1.0" encoding="utf-8"?>
<ds:datastoreItem xmlns:ds="http://schemas.openxmlformats.org/officeDocument/2006/customXml" ds:itemID="{5F2828FB-2024-47DD-90CC-BEF96E4801F1}">
  <ds:schemaRefs/>
</ds:datastoreItem>
</file>

<file path=customXml/itemProps23.xml><?xml version="1.0" encoding="utf-8"?>
<ds:datastoreItem xmlns:ds="http://schemas.openxmlformats.org/officeDocument/2006/customXml" ds:itemID="{C4737641-95BD-48D1-BD3D-1B7BE1B8C237}">
  <ds:schemaRefs/>
</ds:datastoreItem>
</file>

<file path=customXml/itemProps24.xml><?xml version="1.0" encoding="utf-8"?>
<ds:datastoreItem xmlns:ds="http://schemas.openxmlformats.org/officeDocument/2006/customXml" ds:itemID="{E14EDF3D-CF66-41A1-85FA-31688633E0C1}">
  <ds:schemaRefs/>
</ds:datastoreItem>
</file>

<file path=customXml/itemProps25.xml><?xml version="1.0" encoding="utf-8"?>
<ds:datastoreItem xmlns:ds="http://schemas.openxmlformats.org/officeDocument/2006/customXml" ds:itemID="{DDFA8D41-EAAC-40A5-A6E1-F352E565C403}">
  <ds:schemaRefs/>
</ds:datastoreItem>
</file>

<file path=customXml/itemProps26.xml><?xml version="1.0" encoding="utf-8"?>
<ds:datastoreItem xmlns:ds="http://schemas.openxmlformats.org/officeDocument/2006/customXml" ds:itemID="{4BB8A8DD-45D7-4C31-9A90-57BA74AD92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Paviot Table &amp;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1701015cs</dc:creator>
  <cp:lastModifiedBy>mohammed 1701015cs</cp:lastModifiedBy>
  <dcterms:created xsi:type="dcterms:W3CDTF">2026-04-21T07:26:50Z</dcterms:created>
  <dcterms:modified xsi:type="dcterms:W3CDTF">2026-05-02T18:07:56Z</dcterms:modified>
</cp:coreProperties>
</file>